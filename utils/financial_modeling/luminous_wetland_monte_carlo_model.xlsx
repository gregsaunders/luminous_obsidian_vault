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58F00B94-E328-FD4A-A647-34685564DD9C}" xr6:coauthVersionLast="47" xr6:coauthVersionMax="47" xr10:uidLastSave="{00000000-0000-0000-0000-000000000000}"/>
  <bookViews>
    <workbookView xWindow="0" yWindow="680" windowWidth="30240" windowHeight="18960" activeTab="3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'3_Assumptions'!$B$39</definedName>
    <definedName name="AnnualThroughput_M3">'3_Assumptions'!$B$39</definedName>
    <definedName name="Base_Year">'1_TOC'!$B$14</definedName>
    <definedName name="Beta_Efficiency_Gain_Alpha">'5_ServiceModels'!$B$23</definedName>
    <definedName name="Beta_Efficiency_Gain_Beta">'5_ServiceModels'!$C$23</definedName>
    <definedName name="Beta_Efficiency_Gain_Max">'5_ServiceModels'!$E$23</definedName>
    <definedName name="Beta_Efficiency_Gain_Min">'5_ServiceModels'!$D$23</definedName>
    <definedName name="Circulation_Cycles">'6_Calc_Timeline'!$C$28</definedName>
    <definedName name="Compliance_Status">'6_Calc_Timeline'!$C$30</definedName>
    <definedName name="Day_80_Survival">'3_Assumptions'!$B$125</definedName>
    <definedName name="Day_LC50">'3_Assumptions'!$B$124</definedName>
    <definedName name="Day_Nontoxic">'3_Assumptions'!$B$126</definedName>
    <definedName name="Days_to_Compliance">'6_Calc_Timeline'!$C$27</definedName>
    <definedName name="Discount_Rate">'1_TOC'!$B$12</definedName>
    <definedName name="DowntimeCostPerDay">'3_Assumptions'!$B$52</definedName>
    <definedName name="Eff_Rapid_Rate">'6_Calc_Timeline'!$C$24</definedName>
    <definedName name="Eff_Slow_Rate">'6_Calc_Timeline'!$C$25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Gross_Value">'8_Calc_Value'!$E$18</definedName>
    <definedName name="Initial_NAFC">'3_Assumptions'!$B$108</definedName>
    <definedName name="LaborPerDay">'3_Assumptions'!$B$50</definedName>
    <definedName name="LearningCurve_Mult">'3_Assumptions'!$B$62:$B$66</definedName>
    <definedName name="List_Scenarios">'3_Assumptions'!$B$94:$B$96</definedName>
    <definedName name="List_TestingOptions">'3_Assumptions'!$A$94:$A$96</definedName>
    <definedName name="MC_Anchor">'3_Assumptions'!$B$99</definedName>
    <definedName name="MC_Expected_Days">'10_Calc_Sim'!$B$1019</definedName>
    <definedName name="MC_Expected_NPV">'10_Calc_Sim'!$B$1011</definedName>
    <definedName name="MC_P10">'10_Calc_Sim'!$B$1012</definedName>
    <definedName name="MC_P10_Days">'10_Calc_Sim'!$B$1020</definedName>
    <definedName name="MC_P50">'10_Calc_Sim'!$B$1013</definedName>
    <definedName name="MC_P50_Days">'10_Calc_Sim'!$B$1021</definedName>
    <definedName name="MC_P90">'10_Calc_Sim'!$B$1014</definedName>
    <definedName name="MC_P90_Days">'10_Calc_Sim'!$B$1022</definedName>
    <definedName name="MC_Prob_Achievable">'10_Calc_Sim'!$B$1023</definedName>
    <definedName name="MC_Prob_Positive">'10_Calc_Sim'!$B$1016</definedName>
    <definedName name="MC_StdDev">'10_Calc_Sim'!$B$1015</definedName>
    <definedName name="NAFC_After_Rapid">'6_Calc_Timeline'!$C$26</definedName>
    <definedName name="NPV_Total">'12_PL_Annual'!$B$21</definedName>
    <definedName name="Projection_Years">'1_TOC'!$B$13</definedName>
    <definedName name="Rapid_Phase_Duration">'3_Assumptions'!$B$112</definedName>
    <definedName name="Rapid_Phase_Rate">'3_Assumptions'!$B$110</definedName>
    <definedName name="Recirculation_Cycle">'3_Assumptions'!$B$113</definedName>
    <definedName name="RegulatoryPenalty">'3_Assumptions'!$B$51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Scenario_BaseValues">'4_Scenarios'!$C$10:$C$13</definedName>
    <definedName name="Scenario_Select">'1_TOC'!$B$11</definedName>
    <definedName name="Season_End_Day">'3_Assumptions'!$B$13</definedName>
    <definedName name="Season_End_Month">'3_Assumptions'!$B$12</definedName>
    <definedName name="Season_Length">'3_Assumptions'!$B$14</definedName>
    <definedName name="Season_Start_Day">'3_Assumptions'!$B$11</definedName>
    <definedName name="Season_Start_Month">'3_Assumptions'!$B$10</definedName>
    <definedName name="Slow_Phase_Rate">'3_Assumptions'!$B$111</definedName>
    <definedName name="Stoch_Efficiency">'7_Calc_Stochastic'!$C$17</definedName>
    <definedName name="Stoch_ExtValue">'7_Calc_Stochastic'!$C$15</definedName>
    <definedName name="Stoch_Interventions">'7_Calc_Stochastic'!$C$16</definedName>
    <definedName name="Stoch_SeasonExt">'7_Calc_Stochastic'!$C$14</definedName>
    <definedName name="Stoch_TreatmentRate">'7_Calc_Stochastic'!$C$18</definedName>
    <definedName name="System_Capacity">'3_Assumptions'!$B$114</definedName>
    <definedName name="Target_NAFC">'3_Assumptions'!$B$109</definedName>
    <definedName name="Testing_Cost">'9_Calc_Costs'!$C$19</definedName>
    <definedName name="Testing_Option">'1_TOC'!$B$10</definedName>
    <definedName name="TestOpt_Cost">'3_Assumptions'!$E$76:$E$78</definedName>
    <definedName name="TestOpt_Interval">'3_Assumptions'!$C$76:$C$78</definedName>
    <definedName name="TestOpt_Latency">'3_Assumptions'!$F$76:$F$78</definedName>
    <definedName name="TestOpt_Method">'3_Assumptions'!$B$76:$B$78</definedName>
    <definedName name="TestOpt_Option">'3_Assumptions'!$A$76:$A$78</definedName>
    <definedName name="TestOpt_Points">'3_Assumptions'!$D$76:$D$78</definedName>
    <definedName name="Timeline_DiscountFactor">'6_Calc_Timeline'!$D$13:$D$18</definedName>
    <definedName name="Timeline_LearningMult">'6_Calc_Timeline'!$E$13:$E$18</definedName>
    <definedName name="Treatment_Cells">'3_Assumptions'!$B$38</definedName>
    <definedName name="Treatment_Days">'3_Assumptions'!$B$14</definedName>
    <definedName name="Treatment_Efficiency">'6_Calc_Timeline'!$C$29</definedName>
    <definedName name="TreatmentCells">'3_Assumptions'!$B$38</definedName>
    <definedName name="Tri_Extension_Value_Per_Day_Max">'5_ServiceModels'!$D$11</definedName>
    <definedName name="Tri_Extension_Value_Per_Day_Min">'5_ServiceModels'!$B$11</definedName>
    <definedName name="Tri_Extension_Value_Per_Day_Mode">'5_ServiceModels'!$C$11</definedName>
    <definedName name="Tri_Interventions_Avoided_Max">'5_ServiceModels'!$D$12</definedName>
    <definedName name="Tri_Interventions_Avoided_Min">'5_ServiceModels'!$B$12</definedName>
    <definedName name="Tri_Interventions_Avoided_Mode">'5_ServiceModels'!$C$12</definedName>
    <definedName name="Tri_Season_Extension_Days_Max">'5_ServiceModels'!$D$10</definedName>
    <definedName name="Tri_Season_Extension_Days_Min">'5_ServiceModels'!$B$10</definedName>
    <definedName name="Tri_Season_Extension_Days_Mode">'5_ServiceModels'!$C$10</definedName>
    <definedName name="Tri_Treatment_Rate_Factor_Max">'5_ServiceModels'!$D$13</definedName>
    <definedName name="Tri_Treatment_Rate_Factor_Min">'5_ServiceModels'!$B$13</definedName>
    <definedName name="Tri_Treatment_Rate_Factor_Mode">'5_ServiceModels'!$C$13</definedName>
    <definedName name="Value_Per_M3">'3_Assumptions'!$B$40</definedName>
    <definedName name="ValuePer_M3">'3_Assumptions'!$B$40</definedName>
    <definedName name="Wetland_Area">'3_Assumptions'!$B$37</definedName>
    <definedName name="WetlandArea_Ha">'3_Assumptions'!$B$37</definedName>
    <definedName name="Year1_Gross_Value">'12_PL_Annual'!$F$13</definedName>
    <definedName name="Year1_Net_Value">'12_PL_Annual'!$H$13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8" l="1"/>
  <c r="D24" i="18"/>
  <c r="D23" i="18"/>
  <c r="D22" i="18"/>
  <c r="D18" i="18"/>
  <c r="D17" i="18"/>
  <c r="D16" i="18"/>
  <c r="D15" i="18"/>
  <c r="D14" i="18"/>
  <c r="D13" i="18"/>
  <c r="B43" i="17"/>
  <c r="C42" i="17"/>
  <c r="B42" i="17"/>
  <c r="B13" i="17"/>
  <c r="B24" i="15"/>
  <c r="B13" i="15"/>
  <c r="A17" i="14"/>
  <c r="A16" i="14"/>
  <c r="A15" i="14"/>
  <c r="A14" i="14"/>
  <c r="A13" i="14"/>
  <c r="A17" i="13"/>
  <c r="A16" i="13"/>
  <c r="A15" i="13"/>
  <c r="A14" i="13"/>
  <c r="A13" i="13"/>
  <c r="B1023" i="11"/>
  <c r="B1022" i="11"/>
  <c r="B1021" i="11"/>
  <c r="B1020" i="11"/>
  <c r="B1019" i="11"/>
  <c r="B1016" i="11"/>
  <c r="B18" i="17" s="1"/>
  <c r="B1015" i="11"/>
  <c r="B1014" i="11"/>
  <c r="B17" i="17" s="1"/>
  <c r="B1013" i="11"/>
  <c r="B16" i="17" s="1"/>
  <c r="B1012" i="11"/>
  <c r="B15" i="17" s="1"/>
  <c r="B1011" i="11"/>
  <c r="C16" i="10"/>
  <c r="C15" i="10"/>
  <c r="C14" i="10"/>
  <c r="C17" i="10" s="1"/>
  <c r="C18" i="10" s="1"/>
  <c r="C19" i="10" s="1"/>
  <c r="C13" i="10"/>
  <c r="B16" i="9"/>
  <c r="B15" i="9"/>
  <c r="B14" i="9"/>
  <c r="B13" i="9"/>
  <c r="B18" i="8"/>
  <c r="C18" i="8" s="1"/>
  <c r="B17" i="8"/>
  <c r="C17" i="8" s="1"/>
  <c r="B16" i="8"/>
  <c r="C16" i="8" s="1"/>
  <c r="D14" i="9" s="1"/>
  <c r="B15" i="8"/>
  <c r="C15" i="8" s="1"/>
  <c r="B14" i="8"/>
  <c r="C14" i="8" s="1"/>
  <c r="D13" i="9" s="1"/>
  <c r="C29" i="7"/>
  <c r="E18" i="7"/>
  <c r="D18" i="7"/>
  <c r="I17" i="13" s="1"/>
  <c r="C18" i="7"/>
  <c r="B18" i="7"/>
  <c r="E17" i="7"/>
  <c r="D17" i="7"/>
  <c r="I16" i="13" s="1"/>
  <c r="C17" i="7"/>
  <c r="B17" i="7"/>
  <c r="E16" i="7"/>
  <c r="D16" i="7"/>
  <c r="I15" i="13" s="1"/>
  <c r="C16" i="7"/>
  <c r="B16" i="7"/>
  <c r="E15" i="7"/>
  <c r="D15" i="7"/>
  <c r="I14" i="13" s="1"/>
  <c r="C15" i="7"/>
  <c r="B15" i="7"/>
  <c r="E14" i="7"/>
  <c r="D14" i="7"/>
  <c r="I13" i="13" s="1"/>
  <c r="C14" i="7"/>
  <c r="B14" i="7"/>
  <c r="C13" i="7"/>
  <c r="B13" i="7"/>
  <c r="E89" i="4"/>
  <c r="D89" i="4"/>
  <c r="C89" i="4"/>
  <c r="B89" i="4"/>
  <c r="E88" i="4"/>
  <c r="D88" i="4"/>
  <c r="C88" i="4"/>
  <c r="B88" i="4"/>
  <c r="E87" i="4"/>
  <c r="D87" i="4"/>
  <c r="C87" i="4"/>
  <c r="B87" i="4"/>
  <c r="B5" i="1"/>
  <c r="C49" i="17" l="1"/>
  <c r="B49" i="17"/>
  <c r="C48" i="17"/>
  <c r="B48" i="17"/>
  <c r="C47" i="17"/>
  <c r="B47" i="17"/>
  <c r="G15" i="13"/>
  <c r="G16" i="13"/>
  <c r="G17" i="13"/>
  <c r="D20" i="18"/>
  <c r="G13" i="13"/>
  <c r="G5" i="11"/>
  <c r="B25" i="15"/>
  <c r="G14" i="13"/>
  <c r="B19" i="17"/>
  <c r="B15" i="15"/>
  <c r="B19" i="15"/>
  <c r="C25" i="7"/>
  <c r="C24" i="7"/>
  <c r="D15" i="9"/>
  <c r="D16" i="9"/>
  <c r="B46" i="17"/>
  <c r="C46" i="17"/>
  <c r="C33" i="17"/>
  <c r="C16" i="9"/>
  <c r="E16" i="9" s="1"/>
  <c r="C15" i="9"/>
  <c r="C32" i="17"/>
  <c r="C14" i="9"/>
  <c r="E14" i="9" s="1"/>
  <c r="C31" i="17"/>
  <c r="C30" i="17"/>
  <c r="C13" i="9"/>
  <c r="E13" i="9" s="1"/>
  <c r="E15" i="9" l="1"/>
  <c r="C26" i="7"/>
  <c r="C27" i="7" s="1"/>
  <c r="D26" i="18"/>
  <c r="F5" i="11"/>
  <c r="E13" i="13"/>
  <c r="E14" i="13"/>
  <c r="E16" i="13"/>
  <c r="B33" i="17"/>
  <c r="E15" i="13"/>
  <c r="E17" i="13"/>
  <c r="C17" i="13"/>
  <c r="D5" i="11"/>
  <c r="C13" i="13"/>
  <c r="C16" i="13"/>
  <c r="B31" i="17"/>
  <c r="C14" i="13"/>
  <c r="C15" i="13"/>
  <c r="C5" i="11"/>
  <c r="B13" i="13"/>
  <c r="B15" i="13"/>
  <c r="B16" i="13"/>
  <c r="E18" i="9"/>
  <c r="B17" i="13"/>
  <c r="B14" i="13"/>
  <c r="B30" i="17"/>
  <c r="D14" i="13" l="1"/>
  <c r="D15" i="13"/>
  <c r="B32" i="17"/>
  <c r="D13" i="13"/>
  <c r="D17" i="13"/>
  <c r="E5" i="11"/>
  <c r="D16" i="13"/>
  <c r="I5" i="11"/>
  <c r="C30" i="7"/>
  <c r="C44" i="17" s="1"/>
  <c r="C28" i="7"/>
  <c r="B44" i="17"/>
  <c r="D25" i="18"/>
  <c r="H5" i="11"/>
  <c r="B17" i="15"/>
  <c r="B26" i="15"/>
  <c r="B16" i="15"/>
  <c r="B14" i="15"/>
  <c r="B18" i="15"/>
  <c r="D21" i="18"/>
  <c r="F13" i="13"/>
  <c r="F16" i="13"/>
  <c r="H16" i="13" s="1"/>
  <c r="F17" i="13"/>
  <c r="H17" i="13" s="1"/>
  <c r="F14" i="13"/>
  <c r="H14" i="13" s="1"/>
  <c r="F15" i="13"/>
  <c r="H15" i="13" s="1"/>
  <c r="B45" i="17" l="1"/>
  <c r="C45" i="17"/>
  <c r="B22" i="13"/>
  <c r="B20" i="17"/>
  <c r="H13" i="13"/>
  <c r="B16" i="14"/>
  <c r="J16" i="13"/>
  <c r="B17" i="14"/>
  <c r="J17" i="13"/>
  <c r="B14" i="14"/>
  <c r="J14" i="13"/>
  <c r="B15" i="14"/>
  <c r="J15" i="13"/>
  <c r="B23" i="13" l="1"/>
  <c r="B13" i="14"/>
  <c r="C13" i="14" s="1"/>
  <c r="C14" i="14" s="1"/>
  <c r="C15" i="14" s="1"/>
  <c r="C16" i="14" s="1"/>
  <c r="C17" i="14" s="1"/>
  <c r="B21" i="17"/>
  <c r="J13" i="13"/>
  <c r="B21" i="13" l="1"/>
  <c r="D13" i="14"/>
  <c r="D14" i="14" s="1"/>
  <c r="D15" i="14" s="1"/>
  <c r="D16" i="14" s="1"/>
  <c r="D17" i="14" s="1"/>
  <c r="D19" i="18" l="1"/>
  <c r="B5" i="11"/>
  <c r="E13" i="16"/>
  <c r="F13" i="16"/>
  <c r="G13" i="16" s="1"/>
  <c r="E14" i="16"/>
  <c r="F14" i="16"/>
  <c r="E15" i="16"/>
  <c r="F15" i="16"/>
  <c r="E16" i="16"/>
  <c r="F16" i="16"/>
  <c r="B20" i="15"/>
  <c r="B14" i="17"/>
  <c r="G15" i="16" l="1"/>
  <c r="G16" i="16"/>
  <c r="B32" i="18"/>
  <c r="B31" i="18"/>
  <c r="B33" i="18"/>
  <c r="B66" i="17"/>
  <c r="B67" i="17"/>
  <c r="B9" i="1"/>
  <c r="B10" i="1"/>
  <c r="G14" i="16"/>
</calcChain>
</file>

<file path=xl/sharedStrings.xml><?xml version="1.0" encoding="utf-8"?>
<sst xmlns="http://schemas.openxmlformats.org/spreadsheetml/2006/main" count="1044" uniqueCount="746">
  <si>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</si>
  <si>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</si>
  <si>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</si>
  <si>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</si>
  <si>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</si>
  <si>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</si>
  <si>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</si>
  <si>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</si>
  <si>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</si>
  <si>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</si>
  <si>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</si>
  <si>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</si>
  <si>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</si>
  <si>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</si>
  <si>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</si>
  <si>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</si>
  <si>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</si>
  <si>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</si>
  <si>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</si>
  <si>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</si>
  <si>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</si>
  <si>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</si>
  <si>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</si>
  <si>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</si>
  <si>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</si>
  <si>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</si>
  <si>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</si>
  <si>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</si>
  <si>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</si>
  <si>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</si>
  <si>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</si>
  <si>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</si>
  <si>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</si>
  <si>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</si>
  <si>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</si>
  <si>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</si>
  <si>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</si>
  <si>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</si>
  <si>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</si>
  <si>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</si>
  <si>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</si>
  <si>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</si>
  <si>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</si>
  <si>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</si>
  <si>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</si>
  <si>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</si>
  <si>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Description:</t>
  </si>
  <si>
    <t>User-editable model parameters that drive all calculations. Change these values to explore different scenarios.</t>
  </si>
  <si>
    <t>Purpose:</t>
  </si>
  <si>
    <t>Provide a single location for users to modify key model inputs</t>
  </si>
  <si>
    <t>Assumptions:</t>
  </si>
  <si>
    <t>- Testing_Option selects between HRMS and biosensor approaches
- Scenario_Select chooses conservative, base, or optimistic parameters
- Discount_Rate applies to all NPV calculations
- Projection_Years determines the financial projection horizon</t>
  </si>
  <si>
    <t>Data Source:</t>
  </si>
  <si>
    <t>User input - default values from Financial Model Framework v2.1</t>
  </si>
  <si>
    <t>Related Tables:</t>
  </si>
  <si>
    <t>tbl_ModelScenarios, tbl_TestOptions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</si>
  <si>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</si>
  <si>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</si>
  <si>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</si>
  <si>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</si>
  <si>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</si>
  <si>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</si>
  <si>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</si>
  <si>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</si>
  <si>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</si>
  <si>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</si>
  <si>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</si>
  <si>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</si>
  <si>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</si>
  <si>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</si>
  <si>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</si>
  <si>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</si>
  <si>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</si>
  <si>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</si>
  <si>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</si>
  <si>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</si>
  <si>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</si>
  <si>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</si>
  <si>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</si>
  <si>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</si>
  <si>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</si>
  <si>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</si>
  <si>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</si>
  <si>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</si>
  <si>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</si>
  <si>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A5:I1005</t>
  </si>
  <si>
    <t xml:space="preserve">   - Data &gt; What-If Analysis &gt; Data Table</t>
  </si>
  <si>
    <t xml:space="preserve">   - Column Input Cell: $K$1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</si>
  <si>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</si>
  <si>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</si>
  <si>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</si>
  <si>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</si>
  <si>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</si>
  <si>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</si>
  <si>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</si>
  <si>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</si>
  <si>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</si>
  <si>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</si>
  <si>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</si>
  <si>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</si>
  <si>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</si>
  <si>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</si>
  <si>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</si>
  <si>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</si>
  <si>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</si>
  <si>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</si>
  <si>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</si>
  <si>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</si>
  <si>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</si>
  <si>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</si>
  <si>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</si>
  <si>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</si>
  <si>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</si>
  <si>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</si>
  <si>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</si>
  <si>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</si>
  <si>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</si>
  <si>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</si>
  <si>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</si>
  <si>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</si>
  <si>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</si>
  <si>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</si>
  <si>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</si>
  <si>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</si>
  <si>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</si>
  <si>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</si>
  <si>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</si>
  <si>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</si>
  <si>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</si>
  <si>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</si>
  <si>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</si>
  <si>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</si>
  <si>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</si>
  <si>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</si>
  <si>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</si>
  <si>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</si>
  <si>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</si>
  <si>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</si>
  <si>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</si>
  <si>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</si>
  <si>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</si>
  <si>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</si>
  <si>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</si>
  <si>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</si>
  <si>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</si>
  <si>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</si>
  <si>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</si>
  <si>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</si>
  <si>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</si>
  <si>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</si>
  <si>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</si>
  <si>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</si>
  <si>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</si>
  <si>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</si>
  <si>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</si>
  <si>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</si>
  <si>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</si>
  <si>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</si>
  <si>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</si>
  <si>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</si>
  <si>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</si>
  <si>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</si>
  <si>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</si>
  <si>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</si>
  <si>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</si>
  <si>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</si>
  <si>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</si>
  <si>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</si>
  <si>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</si>
  <si>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</si>
  <si>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</si>
  <si>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</si>
  <si>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</si>
  <si>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</si>
  <si>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</si>
  <si>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</si>
  <si>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A. Timing Parameters</t>
  </si>
  <si>
    <t>Treatment season timing that determines the operational window for wetland treatment.</t>
  </si>
  <si>
    <t>Define the active treatment period for financial projections</t>
  </si>
  <si>
    <t>- Treatment season aligned with Alberta weather patterns (May-September)
- Season length directly impacts annual value capture potential</t>
  </si>
  <si>
    <t>Standard Alberta treatment wetland operational calendar</t>
  </si>
  <si>
    <t>tbl_Seasonality, tbl_Timeline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</si>
  <si>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</si>
  <si>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</si>
  <si>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</si>
  <si>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</si>
  <si>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</si>
  <si>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</si>
  <si>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</si>
  <si>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</si>
  <si>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</si>
  <si>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</si>
  <si>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</si>
  <si>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</si>
  <si>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</si>
  <si>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</si>
  <si>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</si>
  <si>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</si>
  <si>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Monthly activity multipliers reflecting natural treatment capacity variation across the season.</t>
  </si>
  <si>
    <t>Weight value calculations by month based on treatment capacity patterns</t>
  </si>
  <si>
    <t>- Peak activity in June-July matches optimal treatment temperatures
- Ramp-up in May and decline in September reflect shoulder seasons</t>
  </si>
  <si>
    <t>Kearl pilot operational data patterns</t>
  </si>
  <si>
    <t>tbl_Timing, tbl_Timeline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</si>
  <si>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</si>
  <si>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</si>
  <si>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</si>
  <si>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</si>
  <si>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</si>
  <si>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</si>
  <si>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</si>
  <si>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</si>
  <si>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</si>
  <si>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</si>
  <si>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</si>
  <si>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</si>
  <si>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Physical wetland parameters that define treatment capacity and value per unit.</t>
  </si>
  <si>
    <t>Establish the operational scale for all calculations</t>
  </si>
  <si>
    <t>- Standard 1.0 ha design based on Kearl pilot scaling
- HLR of 0.05 m3/m2/day is conservative for constructed wetlands</t>
  </si>
  <si>
    <t>Kearl pilot scaling (0.76 ha) extrapolated to standard design</t>
  </si>
  <si>
    <t>tbl_TreatmentKinetics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</si>
  <si>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</si>
  <si>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</si>
  <si>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</si>
  <si>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</si>
  <si>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</si>
  <si>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</si>
  <si>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</si>
  <si>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</si>
  <si>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</si>
  <si>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</si>
  <si>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</si>
  <si>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</si>
  <si>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</si>
  <si>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</si>
  <si>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Operational cost assumptions for labor, penalties, and downtime.</t>
  </si>
  <si>
    <t>Enable cost-benefit calculations for testing options</t>
  </si>
  <si>
    <t>- Labor costs include all direct operational expenses
- Regulatory penalty reflects typical EPEA violation costs</t>
  </si>
  <si>
    <t>Industry estimates from Financial Model Framework v2.1</t>
  </si>
  <si>
    <t>tbl_CostCalc</t>
  </si>
  <si>
    <t>LaborPerDay</t>
  </si>
  <si>
    <t>$/day</t>
  </si>
  <si>
    <t>RegulatoryPenalty</t>
  </si>
  <si>
    <t>$</t>
  </si>
  <si>
    <t>DowntimeCostPerDay</t>
  </si>
  <si>
    <t>D. Learning Curve</t>
  </si>
  <si>
    <t>Year-over-year efficiency multipliers reflecting operational maturity progression.</t>
  </si>
  <si>
    <t>Discount early-year value to account for pilot learning and optimization</t>
  </si>
  <si>
    <t>- Year 1 at 50% reflects pilot learning phase
- Full maturity (100%) achieved by Year 3</t>
  </si>
  <si>
    <t>Standard industrial learning curve for new process technology</t>
  </si>
  <si>
    <t>tbl_Timeline, tbl_GatedValues</t>
  </si>
  <si>
    <t>Year</t>
  </si>
  <si>
    <t>Pilot learning</t>
  </si>
  <si>
    <t>Initial optimization</t>
  </si>
  <si>
    <t>Full maturity</t>
  </si>
  <si>
    <t>Steady state</t>
  </si>
  <si>
    <t>E. Test Options</t>
  </si>
  <si>
    <t>Testing method specifications including frequency, cost, and result latency.</t>
  </si>
  <si>
    <t>Compare HRMS lab testing vs real-time biosensor monitoring approaches</t>
  </si>
  <si>
    <t>- HRMS costs include lab fees and sample logistics
- Biosensor costs assume deployed hardware and consumables
- Latency includes sample processing and reporting time</t>
  </si>
  <si>
    <t>HRMS: Commercial lab quotes; Biosensor: Luminous device specifications</t>
  </si>
  <si>
    <t>tbl_LatencyGating, tbl_CostCalc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</si>
  <si>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</si>
  <si>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</si>
  <si>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</si>
  <si>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</si>
  <si>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</si>
  <si>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</si>
  <si>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</si>
  <si>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</si>
  <si>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</si>
  <si>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</si>
  <si>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Calculated gate status showing which testing options can capture each value scenario.</t>
  </si>
  <si>
    <t>Determine ENABLED/BLOCKED status based on latency vs required response time</t>
  </si>
  <si>
    <t>- ENABLED if testing latency &lt;= scenario required response days
- BLOCKED if testing latency &gt; scenario required response days
- Gates determine whether value can be captured</t>
  </si>
  <si>
    <t>Calculated from tbl_TestOptions latency vs tbl_ValueScenarios requirements</t>
  </si>
  <si>
    <t>tbl_TestOptions, tbl_ValueScenarios, tbl_GatedValues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</si>
  <si>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</si>
  <si>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</si>
  <si>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</si>
  <si>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</si>
  <si>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</si>
  <si>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</si>
  <si>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</si>
  <si>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</si>
  <si>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</si>
  <si>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</si>
  <si>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</si>
  <si>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</si>
  <si>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NAFC removal rate parameters from Kearl 2022 pilot field data.</t>
  </si>
  <si>
    <t>Model treatment progression and time-to-compliance calculations</t>
  </si>
  <si>
    <t>- Biphasic removal: rapid initial phase (Days 0-15) then slower steady state
- Rates calibrated from Vander Meulen &amp; Headley (2024) GROW presentation</t>
  </si>
  <si>
    <t>Kearl 2022 pilot data - Vander Meulen &amp; Headley GROW presentation</t>
  </si>
  <si>
    <t>tbl_ToxicityMilestones, tbl_Stochastic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</si>
  <si>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</si>
  <si>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</si>
  <si>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</si>
  <si>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</si>
  <si>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</si>
  <si>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</si>
  <si>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</si>
  <si>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</si>
  <si>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</si>
  <si>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</si>
  <si>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</si>
  <si>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</si>
  <si>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</si>
  <si>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</si>
  <si>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</si>
  <si>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</si>
  <si>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</si>
  <si>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</si>
  <si>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marking treatment progress toward non-toxicity.</t>
  </si>
  <si>
    <t>Define compliance milestones for treatment effectiveness tracking</t>
  </si>
  <si>
    <t>- LC50 at Day 14 marks start of toxicity reduction
- Non-toxic threshold (&gt;90% survival) typically achieved by Day 42</t>
  </si>
  <si>
    <t>Parrott Lab (Burlington) fathead minnow embryo bioassays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</si>
  <si>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</si>
  <si>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</si>
  <si>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</si>
  <si>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</si>
  <si>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</si>
  <si>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</si>
  <si>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</si>
  <si>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</si>
  <si>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</si>
  <si>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</si>
  <si>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</si>
  <si>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</si>
  <si>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</si>
  <si>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Four value streams enabled by biosensor monitoring that HRMS testing cannot capture due to latency constraints.</t>
  </si>
  <si>
    <t>Quantify the annual financial benefit of each operational improvement enabled by real-time monitoring</t>
  </si>
  <si>
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</si>
  <si>
    <t>Financial Model Framework v2.1 - operational value allocation</t>
  </si>
  <si>
    <t>tbl_ModelScenarios, tbl_GatedValues, tbl_LatencyGating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</si>
  <si>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</si>
  <si>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</si>
  <si>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</si>
  <si>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</si>
  <si>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</si>
  <si>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</si>
  <si>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</si>
  <si>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</si>
  <si>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</si>
  <si>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</si>
  <si>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</si>
  <si>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</si>
  <si>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</si>
  <si>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</si>
  <si>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</si>
  <si>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</si>
  <si>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</si>
  <si>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Parameter adjustments for conservative, base, and optimistic financial projections.</t>
  </si>
  <si>
    <t>Enable sensitivity analysis by adjusting discount rate, growth rate, and risk factors</t>
  </si>
  <si>
    <t>- Base scenario uses unadjusted parameters from model inputs
- Conservative adds higher discount (+0.4%), lower growth (-2%), higher risk (+10%)
- Optimistic uses lower discount (-0.3%), higher growth (+1%), lower risk (-10%)</t>
  </si>
  <si>
    <t>Standard financial modeling practice - scenario analysis parameters</t>
  </si>
  <si>
    <t>tbl_ValueScenarios, tbl_Sensitivity</t>
  </si>
  <si>
    <t>Discount_Adj</t>
  </si>
  <si>
    <t>Growth_Adj</t>
  </si>
  <si>
    <t>Risk_Adj</t>
  </si>
  <si>
    <t>TABLE REFERENCE</t>
  </si>
  <si>
    <t>──────────────────────────────────────────────────</t>
  </si>
  <si>
    <t>tbl_ValueScenarios</t>
  </si>
  <si>
    <t xml:space="preserve">  Purpose: Quantify the annual financial benefit of each operational improvement enabled by real-time monitoring</t>
  </si>
  <si>
    <t xml:space="preserve">  Assumptions:</t>
  </si>
  <si>
    <t xml:space="preserve">    - Values are additive (a single biosensor deployment captures all four simultaneously)</t>
  </si>
  <si>
    <t xml:space="preserve">    - Base values calibrated from $250K/year total operational value allocation</t>
  </si>
  <si>
    <t xml:space="preserve">    - Required response days based on operational decision-making windows</t>
  </si>
  <si>
    <t xml:space="preserve">    - HRMS 42-day latency blocks all scenarios; biosensor 1-day latency enables all</t>
  </si>
  <si>
    <t xml:space="preserve">  Data Source: Financial Model Framework v2.1 - operational value allocation</t>
  </si>
  <si>
    <t xml:space="preserve">  Related: tbl_ModelScenarios, tbl_GatedValues, tbl_LatencyGating</t>
  </si>
  <si>
    <t>tbl_ModelScenarios</t>
  </si>
  <si>
    <t xml:space="preserve">  Purpose: Enable sensitivity analysis by adjusting discount rate, growth rate, and risk factors</t>
  </si>
  <si>
    <t xml:space="preserve">    - Base scenario uses unadjusted parameters from model inputs</t>
  </si>
  <si>
    <t xml:space="preserve">    - Conservative adds higher discount (+0.4%), lower growth (-2%), higher risk (+10%)</t>
  </si>
  <si>
    <t xml:space="preserve">    - Optimistic uses lower discount (-0.3%), higher growth (+1%), lower risk (-10%)</t>
  </si>
  <si>
    <t xml:space="preserve">  Data Source: Standard financial modeling practice - scenario analysis parameters</t>
  </si>
  <si>
    <t xml:space="preserve">  Related: tbl_ValueScenarios, tbl_Sensitivity</t>
  </si>
  <si>
    <t>Monte Carlo Distribution Parameters</t>
  </si>
  <si>
    <t>Triangular Distributions</t>
  </si>
  <si>
    <t>Monte Carlo input parameters using triangular probability distributions for key uncertain variables.</t>
  </si>
  <si>
    <t>Define the uncertainty ranges for stochastic variables that drive value scenario calculations</t>
  </si>
  <si>
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</si>
  <si>
    <t>Expert judgment calibrated against Financial Model Framework v2.1</t>
  </si>
  <si>
    <t>tbl_Stochastic, tbl_GatedValues, tbl_ValueScenarios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</si>
  <si>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</si>
  <si>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</si>
  <si>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</si>
  <si>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</si>
  <si>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</si>
  <si>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</si>
  <si>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</si>
  <si>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</si>
  <si>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</si>
  <si>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</si>
  <si>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</si>
  <si>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</si>
  <si>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Monte Carlo input parameters using beta distributions for bounded percentage variables.</t>
  </si>
  <si>
    <t>Model uncertainty in efficiency and probability parameters that must stay within 0-100% bounds</t>
  </si>
  <si>
    <t>- Beta distribution ensures values stay within specified bounds
- Alpha/Beta parameters shape the distribution skewness
- Used for variables that represent percentages or bounded factors</t>
  </si>
  <si>
    <t>Expert judgment for efficiency and probability estimates</t>
  </si>
  <si>
    <t>tbl_Triangular, tbl_Stochastic</t>
  </si>
  <si>
    <t>Alpha</t>
  </si>
  <si>
    <t>Beta</t>
  </si>
  <si>
    <t>Efficiency_Gain</t>
  </si>
  <si>
    <t>%</t>
  </si>
  <si>
    <t>Value Per M3 Sensitivity Frames</t>
  </si>
  <si>
    <t>Alternative value framing approaches for sensitivity analysis and stakeholder communication.</t>
  </si>
  <si>
    <t>Provide multiple perspectives on value per cubic meter of treated water</t>
  </si>
  <si>
    <t>- Operational frame: Direct operational cost savings
- Avoided Treatment frame: Value of alternatives not needed
- ARO Liability frame: Asset retirement obligation cost reduction (Zhang 2026)
- Values are illustrative ranges for framing discussions</t>
  </si>
  <si>
    <t>Zhang (2026) analysis for ARO frame; operational estimates for others</t>
  </si>
  <si>
    <t>tbl_ValueScenarios, tbl_KPIs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</si>
  <si>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</si>
  <si>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</si>
  <si>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</si>
  <si>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</si>
  <si>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</si>
  <si>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</si>
  <si>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</si>
  <si>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</si>
  <si>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</si>
  <si>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</si>
  <si>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</si>
  <si>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Understanding the Timeline</t>
  </si>
  <si>
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</si>
  <si>
    <t>Year-by-year projection timeline with seasonal month breakdown and learning curve factors.</t>
  </si>
  <si>
    <t>Generate the time dimension for all financial calculations</t>
  </si>
  <si>
    <t>- Projection starts at Base_Year and extends for Projection_Years
- Each year contains 12 months with season flags
- Learning curve multiplier applied from tbl_LearningCurve</t>
  </si>
  <si>
    <t>Generated from 1_TOC control parameters</t>
  </si>
  <si>
    <t>tbl_LearningCurve, tbl_Seasonality, tbl_Annual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</si>
  <si>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</si>
  <si>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</si>
  <si>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</si>
  <si>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</si>
  <si>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</si>
  <si>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</si>
  <si>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</si>
  <si>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</si>
  <si>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</si>
  <si>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</si>
  <si>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</si>
  <si>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</si>
  <si>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</si>
  <si>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</si>
  <si>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</si>
  <si>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</si>
  <si>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</si>
  <si>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</si>
  <si>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</si>
  <si>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</si>
  <si>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</si>
  <si>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</si>
  <si>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</si>
  <si>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</si>
  <si>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</si>
  <si>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</si>
  <si>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Monte Carlo Random Variables</t>
  </si>
  <si>
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</si>
  <si>
    <t>Random variable generation using triangular distributions for Monte Carlo simulation.</t>
  </si>
  <si>
    <t>Generate stochastic multipliers that vary across simulation iterations</t>
  </si>
  <si>
    <t>- Uses triangular distribution parameters from 5_ServiceModels
- RAND() functions recalculate on spreadsheet refresh
- Values captured by Data Table in 10_Calc_Sim for 1000 iterations</t>
  </si>
  <si>
    <t>Distribution parameters from tbl_Triangular and tbl_Beta</t>
  </si>
  <si>
    <t>tbl_Triangular, tbl_Beta, tbl_GatedValues</t>
  </si>
  <si>
    <t>Random_U</t>
  </si>
  <si>
    <t>Realized_Value</t>
  </si>
  <si>
    <t>Season_Extension</t>
  </si>
  <si>
    <t>Extension_Value</t>
  </si>
  <si>
    <t>Gated Value Calculations</t>
  </si>
  <si>
    <t>Understanding Gated Value Calculations</t>
  </si>
  <si>
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</si>
  <si>
    <t>Scenario values after applying latency gating logic and stochastic multipliers.</t>
  </si>
  <si>
    <t>Calculate the actual value captured based on testing option's ability to meet response time requirements</t>
  </si>
  <si>
    <t>- Gate status determined by comparing testing latency to required response time
- ENABLED scenarios: Gated_Value = Base_Value x Stoch_Mult
- BLOCKED scenarios: Gated_Value = $0 (value cannot be captured)
- Stochastic multipliers vary each Monte Carlo iteration</t>
  </si>
  <si>
    <t>Calculated from tbl_ValueScenarios, tbl_LatencyGating, and tbl_Stochastic</t>
  </si>
  <si>
    <t>tbl_ValueScenarios, tbl_LatencyGating, tbl_Stochastic, tbl_ScenarioBreakdown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</si>
  <si>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</si>
  <si>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</si>
  <si>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</si>
  <si>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</si>
  <si>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</si>
  <si>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</si>
  <si>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</si>
  <si>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</si>
  <si>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</si>
  <si>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Understanding Cost Calculations</t>
  </si>
  <si>
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</si>
  <si>
    <t>Cost Calculation</t>
  </si>
  <si>
    <t>Annual testing cost breakdown for the selected monitoring approach.</t>
  </si>
  <si>
    <t>Calculate total cost of testing to include in ROI and NPV calculations</t>
  </si>
  <si>
    <t>- Cost = (Season_Days / Test_Interval) x Sample_Points x Cost_Per_Test
- Parameters looked up from tbl_TestOptions based on selected option</t>
  </si>
  <si>
    <t>Calculated from tbl_TestOptions parameters</t>
  </si>
  <si>
    <t>tbl_TestOptions, tbl_CostParams, tbl_Annual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</si>
  <si>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</si>
  <si>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</si>
  <si>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</si>
  <si>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</si>
  <si>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</si>
  <si>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</si>
  <si>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</si>
  <si>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</si>
  <si>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</si>
  <si>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</si>
  <si>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</si>
  <si>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</si>
  <si>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Running the Monte Carlo Simulation</t>
  </si>
  <si>
    <t>Select A5:I1005 &gt; Data &gt; What-If Analysis &gt; Data Table</t>
  </si>
  <si>
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</si>
  <si>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</si>
  <si>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</si>
  <si>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</si>
  <si>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</si>
  <si>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</si>
  <si>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</si>
  <si>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</si>
  <si>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</si>
  <si>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</si>
  <si>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</si>
  <si>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</si>
  <si>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</si>
  <si>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</si>
  <si>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</si>
  <si>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</si>
  <si>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</si>
  <si>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</si>
  <si>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</si>
  <si>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Monthly P&amp;L View</t>
  </si>
  <si>
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</si>
  <si>
    <t>Annual Projections</t>
  </si>
  <si>
    <t>Annual Financial Projections</t>
  </si>
  <si>
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</si>
  <si>
    <t>Year-by-year financial projections with learning curve adjustments and NPV calculations.</t>
  </si>
  <si>
    <t>Project multi-year value capture for ROI and NPV analysis</t>
  </si>
  <si>
    <t>- Learning curve applied: Year 1 (50%), Year 2 (75%), Year 3+ (100%)
- Discount rate from 1_TOC applied to all future cash flows
- Testing costs deducted annually based on selected approach</t>
  </si>
  <si>
    <t>Calculated from tbl_GatedValues, tbl_LearningCurve, tbl_CostCalc</t>
  </si>
  <si>
    <t>tbl_GatedValues, tbl_LearningCurve, tbl_CostCalc, tbl_CashFlow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</si>
  <si>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</si>
  <si>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</si>
  <si>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</si>
  <si>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</si>
  <si>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</si>
  <si>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</si>
  <si>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</si>
  <si>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</si>
  <si>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</si>
  <si>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</si>
  <si>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</si>
  <si>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</si>
  <si>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</si>
  <si>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Cumulative Cash Flow Analysis</t>
  </si>
  <si>
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</si>
  <si>
    <t>Cash Flow Summary</t>
  </si>
  <si>
    <t>Cumulative cash flow and NPV tracking for payback analysis.</t>
  </si>
  <si>
    <t>Track when cumulative value exceeds investment for breakeven analysis</t>
  </si>
  <si>
    <t>- No upfront capital investment assumed (costs included in testing)
- Annual net values from tbl_Annual
- Cumulative NPV used for total project value</t>
  </si>
  <si>
    <t>Calculated from tbl_Annual</t>
  </si>
  <si>
    <t>tbl_Annual, tbl_KPIs</t>
  </si>
  <si>
    <t>Annual_Net</t>
  </si>
  <si>
    <t>Cumulative_Net</t>
  </si>
  <si>
    <t>Cumulative_NPV</t>
  </si>
  <si>
    <t>Unit Economics</t>
  </si>
  <si>
    <t>Per-Cubic-Meter Economics</t>
  </si>
  <si>
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</si>
  <si>
    <t>Per-cubic-meter economics for cross-site comparability and scaling estimates.</t>
  </si>
  <si>
    <t>Express all values on per-m3 basis for benchmarking and scaling</t>
  </si>
  <si>
    <t>- Annual throughput from tbl_SiteConfig used as denominator
- NPV values divided by 5-year total throughput
- Benchmarks from industry data and Zhang (2026) analysis</t>
  </si>
  <si>
    <t>Calculated from model outputs and 3_Assumptions throughput</t>
  </si>
  <si>
    <t>tbl_SiteConfig, tbl_Annual, tbl_KPIs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</si>
  <si>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</si>
  <si>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</si>
  <si>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</si>
  <si>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</si>
  <si>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</si>
  <si>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</si>
  <si>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</si>
  <si>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</si>
  <si>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</si>
  <si>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</si>
  <si>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</si>
  <si>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</si>
  <si>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</si>
  <si>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</si>
  <si>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</si>
  <si>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</si>
  <si>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</si>
  <si>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</si>
  <si>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</si>
  <si>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</si>
  <si>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</si>
  <si>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Tornado Sensitivity Analysis</t>
  </si>
  <si>
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</si>
  <si>
    <t>Tornado chart data showing NPV impact when each parameter varies from low to high.</t>
  </si>
  <si>
    <t>Identify which parameters most influence outcomes for validation focus</t>
  </si>
  <si>
    <t>- One-at-a-time analysis: each parameter varied while others at base
- Swing = |NPV_at_High - NPV_at_Low| measures parameter influence
- Parameters sorted by swing (largest impact first)</t>
  </si>
  <si>
    <t>Calculated by evaluating NPV at parameter bounds</t>
  </si>
  <si>
    <t>tbl_Triangular, tbl_SiteConfig, tbl_KPIs</t>
  </si>
  <si>
    <t>NPV_at_Low</t>
  </si>
  <si>
    <t>NPV_at_High</t>
  </si>
  <si>
    <t>Swing</t>
  </si>
  <si>
    <t>Value_Per_M3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</si>
  <si>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</si>
  <si>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</si>
  <si>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</si>
  <si>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</si>
  <si>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</si>
  <si>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</si>
  <si>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</si>
  <si>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</si>
  <si>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</si>
  <si>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</si>
  <si>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</si>
  <si>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Results Summary</t>
  </si>
  <si>
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</si>
  <si>
    <t>Key Performance Indicators</t>
  </si>
  <si>
    <t>Primary Monte Carlo simulation outputs and financial metrics for executive decision-making.</t>
  </si>
  <si>
    <t>Provide at-a-glance summary of biosensor investment value and risk profile</t>
  </si>
  <si>
    <t>- NPV calculated over 5-year horizon with 7% discount rate
- P10/P50/P90 derived from 1000 Monte Carlo iterations
- All metrics assume Daily Biosensor as selected testing option
- Values refresh when Monte Carlo simulation is recalculated</t>
  </si>
  <si>
    <t>Calculated from 10_Calc_Sim Monte Carlo simulation results</t>
  </si>
  <si>
    <t>tbl_ScenarioBreakdown, tbl_Annual, tbl_CashFlow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</si>
  <si>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</si>
  <si>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</si>
  <si>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</si>
  <si>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</si>
  <si>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</si>
  <si>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</si>
  <si>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</si>
  <si>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</si>
  <si>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</si>
  <si>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</si>
  <si>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Individual scenario contributions to total gated value with gate status.</t>
  </si>
  <si>
    <t>Show which value scenarios are captured by the selected testing option</t>
  </si>
  <si>
    <t>- Gate status determined by testing latency vs required response time
- ENABLED means testing latency allows capturing this value
- BLOCKED means testing latency prevents capturing this value
- Values are stochastic and vary with each Monte Carlo iteration</t>
  </si>
  <si>
    <t>Calculated from 8_Calc_Value gating logic and stochastic multipliers</t>
  </si>
  <si>
    <t>tbl_KPIs, tbl_ValueScenarios, tbl_GatedValues</t>
  </si>
  <si>
    <t>Status</t>
  </si>
  <si>
    <t>NAFC degradation parameters and Monte Carlo treatment time estimates.</t>
  </si>
  <si>
    <t>Validate that biosensor-enabled treatment achieves regulatory compliance within season</t>
  </si>
  <si>
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</si>
  <si>
    <t>Kearl (2022) wetland treatment kinetics research</t>
  </si>
  <si>
    <t>tbl_KPIs, tbl_Triangular, tbl_TreatmentKinetics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</si>
  <si>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</si>
  <si>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</si>
  <si>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</si>
  <si>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</si>
  <si>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</si>
  <si>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</si>
  <si>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</si>
  <si>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</si>
  <si>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</si>
  <si>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</si>
  <si>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Side-by-side comparison of gate status and value across all testing options.</t>
  </si>
  <si>
    <t>Demonstrate the value differential between HRMS and biosensor testing approaches</t>
  </si>
  <si>
    <t>- Monthly HRMS: 42-day turnaround, $60K/season
- Weekly HRMS: 42-day turnaround, $28.6K/season
- Daily Biosensor: 1-day turnaround, $10K/season
- Gate status determined by latency vs required response time</t>
  </si>
  <si>
    <t>Testing cost quotes and operational latency measurements</t>
  </si>
  <si>
    <t>tbl_KPIs, tbl_TestOptions, tbl_LatencyGating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</si>
  <si>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</si>
  <si>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</si>
  <si>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</si>
  <si>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</si>
  <si>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</si>
  <si>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</si>
  <si>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</si>
  <si>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</si>
  <si>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</si>
  <si>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</si>
  <si>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</si>
  <si>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</si>
  <si>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</si>
  <si>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</si>
  <si>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</si>
  <si>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tbl_KPIs</t>
  </si>
  <si>
    <t xml:space="preserve">  Purpose: Provide at-a-glance summary of biosensor investment value and risk profile</t>
  </si>
  <si>
    <t xml:space="preserve">    - NPV calculated over 5-year horizon with 7% discount rate</t>
  </si>
  <si>
    <t xml:space="preserve">    - P10/P50/P90 derived from 1000 Monte Carlo iterations</t>
  </si>
  <si>
    <t xml:space="preserve">    - All metrics assume Daily Biosensor as selected testing option</t>
  </si>
  <si>
    <t xml:space="preserve">    - Values refresh when Monte Carlo simulation is recalculated</t>
  </si>
  <si>
    <t xml:space="preserve">  Data Source: Calculated from 10_Calc_Sim Monte Carlo simulation results</t>
  </si>
  <si>
    <t xml:space="preserve">  Related: tbl_ScenarioBreakdown, tbl_Annual, tbl_CashFlow</t>
  </si>
  <si>
    <t>tbl_ScenarioBreakdown</t>
  </si>
  <si>
    <t xml:space="preserve">  Purpose: Show which value scenarios are captured by the selected testing option</t>
  </si>
  <si>
    <t xml:space="preserve">    - Gate status determined by testing latency vs required response time</t>
  </si>
  <si>
    <t xml:space="preserve">    - ENABLED means testing latency allows capturing this value</t>
  </si>
  <si>
    <t xml:space="preserve">    - BLOCKED means testing latency prevents capturing this value</t>
  </si>
  <si>
    <t xml:space="preserve">    - Values are stochastic and vary with each Monte Carlo iteration</t>
  </si>
  <si>
    <t xml:space="preserve">  Data Source: Calculated from 8_Calc_Value gating logic and stochastic multipliers</t>
  </si>
  <si>
    <t xml:space="preserve">  Related: tbl_KPIs, tbl_ValueScenarios, tbl_GatedValues</t>
  </si>
  <si>
    <t>tbl_TreatmentKPIs</t>
  </si>
  <si>
    <t xml:space="preserve">  Purpose: Validate that biosensor-enabled treatment achieves regulatory compliance within season</t>
  </si>
  <si>
    <t xml:space="preserve">    - Based on Kearl (2022) first-order kinetics model for NAFC degradation</t>
  </si>
  <si>
    <t xml:space="preserve">    - Initial/target NAFC concentrations from site characterization data</t>
  </si>
  <si>
    <t xml:space="preserve">    - Treatment rate factor varies stochastically (0.7-1.3 multiplier)</t>
  </si>
  <si>
    <t xml:space="preserve">    - Season length constraint of 120 days for Alberta operations</t>
  </si>
  <si>
    <t xml:space="preserve">  Data Source: Kearl (2022) wetland treatment kinetics research</t>
  </si>
  <si>
    <t xml:space="preserve">  Related: tbl_KPIs, tbl_Triangular, tbl_TreatmentKinetics</t>
  </si>
  <si>
    <t>tbl_OptionComparison</t>
  </si>
  <si>
    <t xml:space="preserve">  Purpose: Demonstrate the value differential between HRMS and biosensor testing approaches</t>
  </si>
  <si>
    <t xml:space="preserve">    - Monthly HRMS: 42-day turnaround, $60K/season</t>
  </si>
  <si>
    <t xml:space="preserve">    - Weekly HRMS: 42-day turnaround, $28.6K/season</t>
  </si>
  <si>
    <t xml:space="preserve">    - Daily Biosensor: 1-day turnaround, $10K/season</t>
  </si>
  <si>
    <t xml:space="preserve">    - Gate status determined by latency vs required response time</t>
  </si>
  <si>
    <t xml:space="preserve">  Data Source: Testing cost quotes and operational latency measurements</t>
  </si>
  <si>
    <t xml:space="preserve">  Related: tbl_KPIs, tbl_TestOptions, tbl_LatencyGating</t>
  </si>
  <si>
    <t>Model Validation Checks</t>
  </si>
  <si>
    <t>Model Integrity Checks</t>
  </si>
  <si>
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</si>
  <si>
    <t>Automated validation rules that verify model inputs and outputs are within acceptable ranges.</t>
  </si>
  <si>
    <t>Ensure model integrity by detecting invalid inputs, inconsistent parameters, and unreasonable outputs</t>
  </si>
  <si>
    <t>- Range checks based on reasonable operational bounds
- Sanity checks based on expected order-of-magnitude for outputs
- Consistency checks ensure related parameters are logically coherent
- PASS/FAIL status updates automatically when inputs change</t>
  </si>
  <si>
    <t>Validation rules based on domain expertise and operational constraints</t>
  </si>
  <si>
    <t>tbl_Control, tbl_KPIs, tbl_ValueScenarios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</si>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</sst>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6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b/>
      <sz val="10"/>
      <color rgb="FF666666"/>
      <name val="Calibri"/>
      <family val="2"/>
    </font>
    <font>
      <sz val="10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0"/>
      <color rgb="FF1F4E79"/>
      <name val="Calibri"/>
      <family val="2"/>
    </font>
    <font>
      <sz val="8"/>
      <color rgb="FF999999"/>
      <name val="Calibri"/>
      <family val="2"/>
    </font>
    <font>
      <b/>
      <sz val="10"/>
      <name val="Calibri"/>
      <family val="2"/>
    </font>
    <font>
      <b/>
      <sz val="11"/>
      <color rgb="FF1F4E79"/>
      <name val="Calibri"/>
      <family val="2"/>
    </font>
    <font>
      <i/>
      <sz val="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vertical="top"/>
    </xf>
    <xf numFmtId="0" fontId="7" fillId="2" borderId="0" xfId="0" applyFont="1" applyFill="1" applyAlignment="1">
      <alignment vertical="top" wrapText="1"/>
    </xf>
    <xf numFmtId="0" fontId="8" fillId="3" borderId="0" xfId="0" applyFont="1" applyFill="1"/>
    <xf numFmtId="0" fontId="0" fillId="4" borderId="0" xfId="0" applyFill="1"/>
    <xf numFmtId="165" fontId="0" fillId="4" borderId="0" xfId="0" applyNumberFormat="1" applyFill="1"/>
    <xf numFmtId="0" fontId="9" fillId="0" borderId="0" xfId="0" applyFont="1"/>
    <xf numFmtId="0" fontId="10" fillId="0" borderId="0" xfId="0" applyFont="1"/>
    <xf numFmtId="166" fontId="0" fillId="4" borderId="0" xfId="0" applyNumberFormat="1" applyFill="1"/>
    <xf numFmtId="167" fontId="0" fillId="4" borderId="0" xfId="0" applyNumberFormat="1" applyFill="1"/>
    <xf numFmtId="167" fontId="0" fillId="0" borderId="0" xfId="0" applyNumberFormat="1"/>
    <xf numFmtId="168" fontId="0" fillId="4" borderId="0" xfId="0" applyNumberFormat="1" applyFill="1"/>
    <xf numFmtId="0" fontId="11" fillId="5" borderId="0" xfId="0" applyFont="1" applyFill="1"/>
    <xf numFmtId="0" fontId="12" fillId="0" borderId="0" xfId="0" applyFont="1"/>
    <xf numFmtId="0" fontId="13" fillId="0" borderId="0" xfId="0" applyFont="1"/>
    <xf numFmtId="0" fontId="15" fillId="0" borderId="0" xfId="0" applyFon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9" fillId="0" borderId="0" xfId="0" applyNumberFormat="1" applyFont="1"/>
    <xf numFmtId="166" fontId="0" fillId="0" borderId="0" xfId="0" applyNumberFormat="1"/>
    <xf numFmtId="170" fontId="0" fillId="0" borderId="0" xfId="0" applyNumberFormat="1"/>
    <xf numFmtId="171" fontId="0" fillId="0" borderId="0" xfId="0" applyNumberFormat="1"/>
    <xf numFmtId="0" fontId="7" fillId="2" borderId="0" xfId="0" applyFont="1" applyFill="1" applyAlignment="1">
      <alignment vertical="top" wrapText="1"/>
    </xf>
    <xf numFmtId="0" fontId="0" fillId="0" borderId="0" xfId="0"/>
    <xf numFmtId="0" fontId="0" fillId="6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4" fillId="6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9:D14">
  <autoFilter ref="A9:D14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9:D14">
  <autoFilter ref="A9:D14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22:D27">
  <autoFilter ref="A22:D27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36:D40">
  <autoFilter ref="A36:D40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49:C52">
  <autoFilter ref="A49:C52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61:C66">
  <autoFilter ref="A61:C66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75:F78">
  <autoFilter ref="A75:F78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86:E89">
  <autoFilter ref="A86:E89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107:D114">
  <autoFilter ref="A107:D114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123:D126">
  <autoFilter ref="A123:D126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9:E13">
  <autoFilter ref="A9:E13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22:D25">
  <autoFilter ref="A22:D25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9:E13">
  <autoFilter ref="A9:E13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22:F23">
  <autoFilter ref="A22:F2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32:E35">
  <autoFilter ref="A32:E35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12:E18">
  <autoFilter ref="A12:E18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13:C18">
  <autoFilter ref="A13:C18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12:E16">
  <autoFilter ref="A12:E16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12:C19">
  <autoFilter ref="A12:C19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12:J17">
  <autoFilter ref="A12:J17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12:D17">
  <autoFilter ref="A12:D17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12:D20">
  <autoFilter ref="A12:D20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12:G16">
  <autoFilter ref="A12:G16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12:B21">
  <autoFilter ref="A12:B21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29:C33">
  <autoFilter ref="A29:C33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41:C49">
  <autoFilter ref="A41:C49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57:D63">
  <autoFilter ref="A57:D63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12:D26">
  <autoFilter ref="A12:D26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46052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14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3" spans="1:4" x14ac:dyDescent="0.2">
      <c r="A3" s="6" t="s">
        <v>45</v>
      </c>
    </row>
    <row r="4" spans="1:4" ht="60" customHeight="1" x14ac:dyDescent="0.2">
      <c r="A4" s="7" t="s">
        <v>46</v>
      </c>
      <c r="B4" s="31" t="s">
        <v>47</v>
      </c>
      <c r="C4" s="32"/>
      <c r="D4" s="32"/>
    </row>
    <row r="5" spans="1:4" ht="30" customHeight="1" x14ac:dyDescent="0.2">
      <c r="A5" s="7" t="s">
        <v>48</v>
      </c>
      <c r="B5" s="31" t="s">
        <v>49</v>
      </c>
      <c r="C5" s="32"/>
      <c r="D5" s="32"/>
    </row>
    <row r="6" spans="1:4" ht="105" customHeight="1" x14ac:dyDescent="0.2">
      <c r="A6" s="7" t="s">
        <v>50</v>
      </c>
      <c r="B6" s="31" t="s">
        <v>51</v>
      </c>
      <c r="C6" s="32"/>
      <c r="D6" s="32"/>
    </row>
    <row r="7" spans="1:4" ht="30" customHeight="1" x14ac:dyDescent="0.2">
      <c r="A7" s="7" t="s">
        <v>52</v>
      </c>
      <c r="B7" s="31" t="s">
        <v>53</v>
      </c>
      <c r="C7" s="32"/>
      <c r="D7" s="32"/>
    </row>
    <row r="8" spans="1:4" ht="15" customHeight="1" x14ac:dyDescent="0.2">
      <c r="A8" s="7" t="s">
        <v>54</v>
      </c>
      <c r="B8" s="31" t="s">
        <v>55</v>
      </c>
      <c r="C8" s="32"/>
      <c r="D8" s="32"/>
    </row>
    <row r="9" spans="1:4" x14ac:dyDescent="0.2">
      <c r="A9" s="9" t="s">
        <v>56</v>
      </c>
      <c r="B9" s="9" t="s">
        <v>57</v>
      </c>
      <c r="C9" s="9" t="s">
        <v>58</v>
      </c>
      <c r="D9" s="9" t="s">
        <v>59</v>
      </c>
    </row>
    <row r="10" spans="1:4" x14ac:dyDescent="0.2">
      <c r="A10" t="s">
        <v>60</v>
      </c>
      <c r="B10" s="10" t="s">
        <v>61</v>
      </c>
      <c r="C10" t="s">
        <v>62</v>
      </c>
      <c r="D10" t="s">
        <v>63</v>
      </c>
    </row>
    <row r="11" spans="1:4" x14ac:dyDescent="0.2">
      <c r="A11" t="s">
        <v>64</v>
      </c>
      <c r="B11" s="10" t="s">
        <v>65</v>
      </c>
      <c r="C11" t="s">
        <v>62</v>
      </c>
      <c r="D11" t="s">
        <v>66</v>
      </c>
    </row>
    <row r="12" spans="1:4" x14ac:dyDescent="0.2">
      <c r="A12" t="s">
        <v>67</v>
      </c>
      <c r="B12" s="11">
        <v>4.8000000000000001E-2</v>
      </c>
      <c r="C12" t="s">
        <v>68</v>
      </c>
      <c r="D12" t="s">
        <v>69</v>
      </c>
    </row>
    <row r="13" spans="1:4" x14ac:dyDescent="0.2">
      <c r="A13" t="s">
        <v>70</v>
      </c>
      <c r="B13" s="10">
        <v>5</v>
      </c>
      <c r="C13" t="s">
        <v>71</v>
      </c>
      <c r="D13" t="s">
        <v>72</v>
      </c>
    </row>
    <row r="14" spans="1:4" x14ac:dyDescent="0.2">
      <c r="A14" t="s">
        <v>73</v>
      </c>
      <c r="B14" s="10">
        <v>2026</v>
      </c>
      <c r="C14" t="s">
        <v>74</v>
      </c>
      <c r="D14" t="s">
        <v>75</v>
      </c>
    </row>
  </sheetData>
  <mergeCells count="5">
    <mergeCell ref="B5:D5"/>
    <mergeCell ref="B8:D8"/>
    <mergeCell ref="B4:D4"/>
    <mergeCell ref="B7:D7"/>
    <mergeCell ref="B6:D6"/>
  </mergeCells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76</v>
      </c>
    </row>
    <row r="3" spans="1:1" ht="19" x14ac:dyDescent="0.25">
      <c r="A3" s="4" t="s">
        <v>77</v>
      </c>
    </row>
    <row r="4" spans="1:1" x14ac:dyDescent="0.2">
      <c r="A4" t="s">
        <v>78</v>
      </c>
    </row>
    <row r="5" spans="1:1" x14ac:dyDescent="0.2">
      <c r="A5" t="s">
        <v>79</v>
      </c>
    </row>
    <row r="6" spans="1:1" x14ac:dyDescent="0.2">
      <c r="A6" t="s">
        <v>80</v>
      </c>
    </row>
    <row r="7" spans="1:1" x14ac:dyDescent="0.2">
      <c r="A7" t="s">
        <v>81</v>
      </c>
    </row>
    <row r="9" spans="1:1" ht="19" x14ac:dyDescent="0.25">
      <c r="A9" s="4" t="s">
        <v>82</v>
      </c>
    </row>
    <row r="10" spans="1:1" x14ac:dyDescent="0.2">
      <c r="A10" t="s">
        <v>83</v>
      </c>
    </row>
    <row r="11" spans="1:1" x14ac:dyDescent="0.2">
      <c r="A11" t="s">
        <v>84</v>
      </c>
    </row>
    <row r="12" spans="1:1" x14ac:dyDescent="0.2">
      <c r="A12" t="s">
        <v>85</v>
      </c>
    </row>
    <row r="13" spans="1:1" x14ac:dyDescent="0.2">
      <c r="A13" t="s">
        <v>86</v>
      </c>
    </row>
    <row r="14" spans="1:1" x14ac:dyDescent="0.2">
      <c r="A14" t="s">
        <v>87</v>
      </c>
    </row>
    <row r="15" spans="1:1" x14ac:dyDescent="0.2">
      <c r="A15" t="s">
        <v>88</v>
      </c>
    </row>
    <row r="16" spans="1:1" x14ac:dyDescent="0.2">
      <c r="A16" t="s">
        <v>89</v>
      </c>
    </row>
    <row r="17" spans="1:4" x14ac:dyDescent="0.2">
      <c r="A17" t="s">
        <v>90</v>
      </c>
    </row>
    <row r="19" spans="1:4" ht="19" x14ac:dyDescent="0.25">
      <c r="A19" s="4" t="s">
        <v>91</v>
      </c>
    </row>
    <row r="20" spans="1:4" x14ac:dyDescent="0.2">
      <c r="A20" t="s">
        <v>92</v>
      </c>
    </row>
    <row r="21" spans="1:4" x14ac:dyDescent="0.2">
      <c r="A21" s="9" t="s">
        <v>93</v>
      </c>
      <c r="B21" s="9" t="s">
        <v>94</v>
      </c>
      <c r="C21" s="9" t="s">
        <v>95</v>
      </c>
      <c r="D21" s="9" t="s">
        <v>96</v>
      </c>
    </row>
    <row r="22" spans="1:4" x14ac:dyDescent="0.2">
      <c r="A22" t="s">
        <v>97</v>
      </c>
      <c r="B22" t="s">
        <v>98</v>
      </c>
      <c r="C22" t="s">
        <v>99</v>
      </c>
      <c r="D22" t="s">
        <v>100</v>
      </c>
    </row>
    <row r="23" spans="1:4" x14ac:dyDescent="0.2">
      <c r="A23" t="s">
        <v>101</v>
      </c>
      <c r="B23" t="s">
        <v>98</v>
      </c>
      <c r="C23" t="s">
        <v>99</v>
      </c>
      <c r="D23" t="s">
        <v>100</v>
      </c>
    </row>
    <row r="24" spans="1:4" x14ac:dyDescent="0.2">
      <c r="A24" t="s">
        <v>102</v>
      </c>
      <c r="B24" t="s">
        <v>103</v>
      </c>
      <c r="C24" t="s">
        <v>99</v>
      </c>
      <c r="D24" t="s">
        <v>100</v>
      </c>
    </row>
    <row r="25" spans="1:4" x14ac:dyDescent="0.2">
      <c r="A25" t="s">
        <v>104</v>
      </c>
      <c r="B25" t="s">
        <v>105</v>
      </c>
      <c r="C25" t="s">
        <v>99</v>
      </c>
      <c r="D25" t="s">
        <v>100</v>
      </c>
    </row>
    <row r="27" spans="1:4" ht="19" x14ac:dyDescent="0.25">
      <c r="A27" s="4" t="s">
        <v>106</v>
      </c>
    </row>
    <row r="28" spans="1:4" x14ac:dyDescent="0.2">
      <c r="A28" s="12" t="s">
        <v>107</v>
      </c>
      <c r="B28" t="s">
        <v>108</v>
      </c>
    </row>
    <row r="29" spans="1:4" x14ac:dyDescent="0.2">
      <c r="A29" s="12" t="s">
        <v>109</v>
      </c>
      <c r="B29" t="s">
        <v>110</v>
      </c>
    </row>
    <row r="30" spans="1:4" x14ac:dyDescent="0.2">
      <c r="A30" s="12" t="s">
        <v>111</v>
      </c>
      <c r="B30" t="s">
        <v>112</v>
      </c>
    </row>
    <row r="31" spans="1:4" x14ac:dyDescent="0.2">
      <c r="A31" s="12" t="s">
        <v>113</v>
      </c>
      <c r="B31" t="s">
        <v>114</v>
      </c>
    </row>
    <row r="32" spans="1:4" x14ac:dyDescent="0.2">
      <c r="A32" s="12" t="s">
        <v>115</v>
      </c>
      <c r="B32" t="s">
        <v>116</v>
      </c>
    </row>
    <row r="33" spans="1:2" x14ac:dyDescent="0.2">
      <c r="A33" s="12" t="s">
        <v>117</v>
      </c>
      <c r="B33" t="s">
        <v>118</v>
      </c>
    </row>
    <row r="34" spans="1:2" x14ac:dyDescent="0.2">
      <c r="A34" s="12" t="s">
        <v>119</v>
      </c>
      <c r="B34" t="s">
        <v>120</v>
      </c>
    </row>
    <row r="36" spans="1:2" ht="19" x14ac:dyDescent="0.25">
      <c r="A36" s="4" t="s">
        <v>121</v>
      </c>
    </row>
    <row r="37" spans="1:2" x14ac:dyDescent="0.2">
      <c r="A37" t="s">
        <v>122</v>
      </c>
    </row>
    <row r="38" spans="1:2" x14ac:dyDescent="0.2">
      <c r="A38" t="s">
        <v>123</v>
      </c>
    </row>
    <row r="39" spans="1:2" x14ac:dyDescent="0.2">
      <c r="A39" t="s">
        <v>124</v>
      </c>
    </row>
    <row r="40" spans="1:2" x14ac:dyDescent="0.2">
      <c r="A40" t="s">
        <v>125</v>
      </c>
    </row>
    <row r="41" spans="1:2" x14ac:dyDescent="0.2">
      <c r="A41" t="s">
        <v>126</v>
      </c>
    </row>
    <row r="43" spans="1:2" ht="19" x14ac:dyDescent="0.25">
      <c r="A43" s="4" t="s">
        <v>127</v>
      </c>
    </row>
    <row r="44" spans="1:2" x14ac:dyDescent="0.2">
      <c r="A44" s="13" t="s">
        <v>128</v>
      </c>
    </row>
    <row r="45" spans="1:2" x14ac:dyDescent="0.2">
      <c r="A45" t="s">
        <v>129</v>
      </c>
    </row>
    <row r="46" spans="1:2" x14ac:dyDescent="0.2">
      <c r="A46" t="s">
        <v>130</v>
      </c>
    </row>
    <row r="47" spans="1:2" x14ac:dyDescent="0.2">
      <c r="A47" t="s">
        <v>131</v>
      </c>
    </row>
    <row r="48" spans="1:2" x14ac:dyDescent="0.2">
      <c r="A48" t="s">
        <v>132</v>
      </c>
    </row>
    <row r="50" spans="1:1" x14ac:dyDescent="0.2">
      <c r="A50" s="12" t="s">
        <v>133</v>
      </c>
    </row>
    <row r="51" spans="1:1" x14ac:dyDescent="0.2">
      <c r="A51" t="s">
        <v>134</v>
      </c>
    </row>
    <row r="52" spans="1:1" x14ac:dyDescent="0.2">
      <c r="A52" t="s">
        <v>135</v>
      </c>
    </row>
    <row r="53" spans="1:1" x14ac:dyDescent="0.2">
      <c r="A53" t="s">
        <v>136</v>
      </c>
    </row>
    <row r="55" spans="1:1" ht="19" x14ac:dyDescent="0.25">
      <c r="A55" s="4" t="s">
        <v>137</v>
      </c>
    </row>
    <row r="56" spans="1:1" x14ac:dyDescent="0.2">
      <c r="A56" s="13" t="s">
        <v>138</v>
      </c>
    </row>
    <row r="57" spans="1:1" x14ac:dyDescent="0.2">
      <c r="A57" t="s">
        <v>139</v>
      </c>
    </row>
    <row r="59" spans="1:1" x14ac:dyDescent="0.2">
      <c r="A59" s="12" t="s">
        <v>140</v>
      </c>
    </row>
    <row r="60" spans="1:1" x14ac:dyDescent="0.2">
      <c r="A60" t="s">
        <v>141</v>
      </c>
    </row>
    <row r="61" spans="1:1" x14ac:dyDescent="0.2">
      <c r="A61" t="s">
        <v>142</v>
      </c>
    </row>
    <row r="62" spans="1:1" x14ac:dyDescent="0.2">
      <c r="A62" t="s">
        <v>143</v>
      </c>
    </row>
    <row r="64" spans="1:1" x14ac:dyDescent="0.2">
      <c r="A64" s="12" t="s">
        <v>144</v>
      </c>
    </row>
    <row r="65" spans="1:1" x14ac:dyDescent="0.2">
      <c r="A65" t="s">
        <v>145</v>
      </c>
    </row>
    <row r="66" spans="1:1" x14ac:dyDescent="0.2">
      <c r="A66" t="s">
        <v>146</v>
      </c>
    </row>
    <row r="67" spans="1:1" x14ac:dyDescent="0.2">
      <c r="A67" t="s">
        <v>147</v>
      </c>
    </row>
    <row r="69" spans="1:1" x14ac:dyDescent="0.2">
      <c r="A69" s="12" t="s">
        <v>148</v>
      </c>
    </row>
    <row r="70" spans="1:1" x14ac:dyDescent="0.2">
      <c r="A70" t="s">
        <v>149</v>
      </c>
    </row>
    <row r="71" spans="1:1" x14ac:dyDescent="0.2">
      <c r="A71" t="s">
        <v>150</v>
      </c>
    </row>
    <row r="72" spans="1:1" x14ac:dyDescent="0.2">
      <c r="A72" t="s">
        <v>151</v>
      </c>
    </row>
    <row r="73" spans="1:1" x14ac:dyDescent="0.2">
      <c r="A73" t="s">
        <v>152</v>
      </c>
    </row>
    <row r="74" spans="1:1" x14ac:dyDescent="0.2">
      <c r="A74" t="s">
        <v>153</v>
      </c>
    </row>
    <row r="76" spans="1:1" x14ac:dyDescent="0.2">
      <c r="A76" s="12" t="s">
        <v>154</v>
      </c>
    </row>
    <row r="77" spans="1:1" x14ac:dyDescent="0.2">
      <c r="A77" t="s">
        <v>155</v>
      </c>
    </row>
    <row r="78" spans="1:1" x14ac:dyDescent="0.2">
      <c r="A78" t="s">
        <v>156</v>
      </c>
    </row>
    <row r="79" spans="1:1" x14ac:dyDescent="0.2">
      <c r="A79" t="s">
        <v>157</v>
      </c>
    </row>
    <row r="80" spans="1:1" x14ac:dyDescent="0.2">
      <c r="A80" t="s">
        <v>158</v>
      </c>
    </row>
    <row r="82" spans="1:3" ht="19" x14ac:dyDescent="0.25">
      <c r="A82" s="4" t="s">
        <v>159</v>
      </c>
    </row>
    <row r="83" spans="1:3" x14ac:dyDescent="0.2">
      <c r="A83" s="9" t="s">
        <v>160</v>
      </c>
      <c r="B83" s="9" t="s">
        <v>161</v>
      </c>
      <c r="C83" s="9" t="s">
        <v>162</v>
      </c>
    </row>
    <row r="84" spans="1:3" x14ac:dyDescent="0.2">
      <c r="A84" t="s">
        <v>163</v>
      </c>
      <c r="B84" t="s">
        <v>164</v>
      </c>
      <c r="C84" t="s">
        <v>165</v>
      </c>
    </row>
    <row r="85" spans="1:3" x14ac:dyDescent="0.2">
      <c r="A85" t="s">
        <v>166</v>
      </c>
      <c r="B85" t="s">
        <v>164</v>
      </c>
      <c r="C85" t="s">
        <v>167</v>
      </c>
    </row>
    <row r="86" spans="1:3" x14ac:dyDescent="0.2">
      <c r="A86" t="s">
        <v>3</v>
      </c>
      <c r="B86" t="s">
        <v>164</v>
      </c>
      <c r="C86" t="s">
        <v>168</v>
      </c>
    </row>
    <row r="87" spans="1:3" x14ac:dyDescent="0.2">
      <c r="A87" t="s">
        <v>169</v>
      </c>
      <c r="B87" t="s">
        <v>170</v>
      </c>
      <c r="C87" t="s">
        <v>171</v>
      </c>
    </row>
    <row r="88" spans="1:3" x14ac:dyDescent="0.2">
      <c r="A88" t="s">
        <v>172</v>
      </c>
      <c r="B88" t="s">
        <v>173</v>
      </c>
      <c r="C88" t="s">
        <v>174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126"/>
  <sheetViews>
    <sheetView tabSelected="1" zoomScale="150" zoomScaleNormal="150" workbookViewId="0">
      <selection activeCell="E21" sqref="E21"/>
    </sheetView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175</v>
      </c>
    </row>
    <row r="3" spans="1:4" x14ac:dyDescent="0.2">
      <c r="A3" s="6" t="s">
        <v>176</v>
      </c>
    </row>
    <row r="4" spans="1:4" ht="45" customHeight="1" x14ac:dyDescent="0.2">
      <c r="A4" s="7" t="s">
        <v>46</v>
      </c>
      <c r="B4" s="31" t="s">
        <v>177</v>
      </c>
      <c r="C4" s="32"/>
      <c r="D4" s="32"/>
    </row>
    <row r="5" spans="1:4" ht="30" customHeight="1" x14ac:dyDescent="0.2">
      <c r="A5" s="7" t="s">
        <v>48</v>
      </c>
      <c r="B5" s="31" t="s">
        <v>178</v>
      </c>
      <c r="C5" s="32"/>
      <c r="D5" s="32"/>
    </row>
    <row r="6" spans="1:4" ht="60" customHeight="1" x14ac:dyDescent="0.2">
      <c r="A6" s="7" t="s">
        <v>50</v>
      </c>
      <c r="B6" s="31" t="s">
        <v>179</v>
      </c>
      <c r="C6" s="32"/>
      <c r="D6" s="32"/>
    </row>
    <row r="7" spans="1:4" ht="30" customHeight="1" x14ac:dyDescent="0.2">
      <c r="A7" s="7" t="s">
        <v>52</v>
      </c>
      <c r="B7" s="31" t="s">
        <v>180</v>
      </c>
      <c r="C7" s="32"/>
      <c r="D7" s="32"/>
    </row>
    <row r="8" spans="1:4" ht="15" customHeight="1" x14ac:dyDescent="0.2">
      <c r="A8" s="7" t="s">
        <v>54</v>
      </c>
      <c r="B8" s="31" t="s">
        <v>181</v>
      </c>
      <c r="C8" s="32"/>
      <c r="D8" s="32"/>
    </row>
    <row r="9" spans="1:4" x14ac:dyDescent="0.2">
      <c r="A9" s="9" t="s">
        <v>56</v>
      </c>
      <c r="B9" s="9" t="s">
        <v>57</v>
      </c>
      <c r="C9" s="9" t="s">
        <v>182</v>
      </c>
      <c r="D9" s="9" t="s">
        <v>183</v>
      </c>
    </row>
    <row r="10" spans="1:4" x14ac:dyDescent="0.2">
      <c r="A10" t="s">
        <v>184</v>
      </c>
      <c r="B10" s="10">
        <v>5</v>
      </c>
      <c r="C10" t="s">
        <v>185</v>
      </c>
      <c r="D10" t="s">
        <v>186</v>
      </c>
    </row>
    <row r="11" spans="1:4" x14ac:dyDescent="0.2">
      <c r="A11" t="s">
        <v>187</v>
      </c>
      <c r="B11" s="10">
        <v>15</v>
      </c>
      <c r="C11" t="s">
        <v>188</v>
      </c>
      <c r="D11" t="s">
        <v>189</v>
      </c>
    </row>
    <row r="12" spans="1:4" x14ac:dyDescent="0.2">
      <c r="A12" t="s">
        <v>190</v>
      </c>
      <c r="B12" s="10">
        <v>9</v>
      </c>
      <c r="C12" t="s">
        <v>185</v>
      </c>
      <c r="D12" t="s">
        <v>191</v>
      </c>
    </row>
    <row r="13" spans="1:4" x14ac:dyDescent="0.2">
      <c r="A13" t="s">
        <v>192</v>
      </c>
      <c r="B13" s="10">
        <v>15</v>
      </c>
      <c r="C13" t="s">
        <v>188</v>
      </c>
      <c r="D13" t="s">
        <v>193</v>
      </c>
    </row>
    <row r="14" spans="1:4" x14ac:dyDescent="0.2">
      <c r="A14" t="s">
        <v>194</v>
      </c>
      <c r="B14" s="10">
        <v>100</v>
      </c>
      <c r="C14" t="s">
        <v>195</v>
      </c>
      <c r="D14" t="s">
        <v>196</v>
      </c>
    </row>
    <row r="16" spans="1:4" x14ac:dyDescent="0.2">
      <c r="A16" s="6" t="s">
        <v>197</v>
      </c>
    </row>
    <row r="17" spans="1:4" ht="45" customHeight="1" x14ac:dyDescent="0.2">
      <c r="A17" s="7" t="s">
        <v>46</v>
      </c>
      <c r="B17" s="31" t="s">
        <v>198</v>
      </c>
      <c r="C17" s="32"/>
      <c r="D17" s="32"/>
    </row>
    <row r="18" spans="1:4" ht="30" customHeight="1" x14ac:dyDescent="0.2">
      <c r="A18" s="7" t="s">
        <v>48</v>
      </c>
      <c r="B18" s="31" t="s">
        <v>199</v>
      </c>
      <c r="C18" s="32"/>
      <c r="D18" s="32"/>
    </row>
    <row r="19" spans="1:4" ht="60" customHeight="1" x14ac:dyDescent="0.2">
      <c r="A19" s="7" t="s">
        <v>50</v>
      </c>
      <c r="B19" s="31" t="s">
        <v>200</v>
      </c>
      <c r="C19" s="32"/>
      <c r="D19" s="32"/>
    </row>
    <row r="20" spans="1:4" ht="30" customHeight="1" x14ac:dyDescent="0.2">
      <c r="A20" s="7" t="s">
        <v>52</v>
      </c>
      <c r="B20" s="31" t="s">
        <v>201</v>
      </c>
      <c r="C20" s="32"/>
      <c r="D20" s="32"/>
    </row>
    <row r="21" spans="1:4" ht="15" customHeight="1" x14ac:dyDescent="0.2">
      <c r="A21" s="7" t="s">
        <v>54</v>
      </c>
      <c r="B21" s="31" t="s">
        <v>202</v>
      </c>
      <c r="C21" s="32"/>
      <c r="D21" s="32"/>
    </row>
    <row r="22" spans="1:4" x14ac:dyDescent="0.2">
      <c r="A22" s="9" t="s">
        <v>203</v>
      </c>
      <c r="B22" s="9" t="s">
        <v>204</v>
      </c>
      <c r="C22" s="9" t="s">
        <v>205</v>
      </c>
      <c r="D22" s="9" t="s">
        <v>206</v>
      </c>
    </row>
    <row r="23" spans="1:4" x14ac:dyDescent="0.2">
      <c r="A23" t="s">
        <v>186</v>
      </c>
      <c r="B23">
        <v>5</v>
      </c>
      <c r="C23" s="10">
        <v>0.85</v>
      </c>
      <c r="D23" t="s">
        <v>207</v>
      </c>
    </row>
    <row r="24" spans="1:4" x14ac:dyDescent="0.2">
      <c r="A24" t="s">
        <v>208</v>
      </c>
      <c r="B24">
        <v>6</v>
      </c>
      <c r="C24" s="10">
        <v>1</v>
      </c>
      <c r="D24" t="s">
        <v>209</v>
      </c>
    </row>
    <row r="25" spans="1:4" x14ac:dyDescent="0.2">
      <c r="A25" t="s">
        <v>210</v>
      </c>
      <c r="B25">
        <v>7</v>
      </c>
      <c r="C25" s="10">
        <v>1</v>
      </c>
      <c r="D25" t="s">
        <v>209</v>
      </c>
    </row>
    <row r="26" spans="1:4" x14ac:dyDescent="0.2">
      <c r="A26" t="s">
        <v>211</v>
      </c>
      <c r="B26">
        <v>8</v>
      </c>
      <c r="C26" s="10">
        <v>0.95</v>
      </c>
      <c r="D26" t="s">
        <v>212</v>
      </c>
    </row>
    <row r="27" spans="1:4" x14ac:dyDescent="0.2">
      <c r="A27" t="s">
        <v>191</v>
      </c>
      <c r="B27">
        <v>9</v>
      </c>
      <c r="C27" s="10">
        <v>0.75</v>
      </c>
      <c r="D27" t="s">
        <v>213</v>
      </c>
    </row>
    <row r="30" spans="1:4" x14ac:dyDescent="0.2">
      <c r="A30" s="6" t="s">
        <v>214</v>
      </c>
    </row>
    <row r="31" spans="1:4" ht="45" customHeight="1" x14ac:dyDescent="0.2">
      <c r="A31" s="7" t="s">
        <v>46</v>
      </c>
      <c r="B31" s="31" t="s">
        <v>215</v>
      </c>
      <c r="C31" s="32"/>
      <c r="D31" s="32"/>
    </row>
    <row r="32" spans="1:4" ht="30" customHeight="1" x14ac:dyDescent="0.2">
      <c r="A32" s="7" t="s">
        <v>48</v>
      </c>
      <c r="B32" s="31" t="s">
        <v>216</v>
      </c>
      <c r="C32" s="32"/>
      <c r="D32" s="32"/>
    </row>
    <row r="33" spans="1:4" ht="60" customHeight="1" x14ac:dyDescent="0.2">
      <c r="A33" s="7" t="s">
        <v>50</v>
      </c>
      <c r="B33" s="31" t="s">
        <v>217</v>
      </c>
      <c r="C33" s="32"/>
      <c r="D33" s="32"/>
    </row>
    <row r="34" spans="1:4" ht="30" customHeight="1" x14ac:dyDescent="0.2">
      <c r="A34" s="7" t="s">
        <v>52</v>
      </c>
      <c r="B34" s="31" t="s">
        <v>218</v>
      </c>
      <c r="C34" s="32"/>
      <c r="D34" s="32"/>
    </row>
    <row r="35" spans="1:4" ht="15" customHeight="1" x14ac:dyDescent="0.2">
      <c r="A35" s="7" t="s">
        <v>54</v>
      </c>
      <c r="B35" s="31" t="s">
        <v>219</v>
      </c>
      <c r="C35" s="32"/>
      <c r="D35" s="32"/>
    </row>
    <row r="36" spans="1:4" x14ac:dyDescent="0.2">
      <c r="A36" s="9" t="s">
        <v>56</v>
      </c>
      <c r="B36" s="9" t="s">
        <v>57</v>
      </c>
      <c r="C36" s="9" t="s">
        <v>182</v>
      </c>
      <c r="D36" s="9" t="s">
        <v>220</v>
      </c>
    </row>
    <row r="37" spans="1:4" x14ac:dyDescent="0.2">
      <c r="A37" t="s">
        <v>221</v>
      </c>
      <c r="B37" s="10">
        <v>1</v>
      </c>
      <c r="C37" t="s">
        <v>222</v>
      </c>
      <c r="D37" t="s">
        <v>223</v>
      </c>
    </row>
    <row r="38" spans="1:4" x14ac:dyDescent="0.2">
      <c r="A38" t="s">
        <v>224</v>
      </c>
      <c r="B38" s="10">
        <v>5</v>
      </c>
      <c r="C38" t="s">
        <v>225</v>
      </c>
      <c r="D38" t="s">
        <v>226</v>
      </c>
    </row>
    <row r="39" spans="1:4" x14ac:dyDescent="0.2">
      <c r="A39" t="s">
        <v>227</v>
      </c>
      <c r="B39" s="10">
        <v>50000</v>
      </c>
      <c r="C39" t="s">
        <v>228</v>
      </c>
      <c r="D39" t="s">
        <v>229</v>
      </c>
    </row>
    <row r="40" spans="1:4" x14ac:dyDescent="0.2">
      <c r="A40" t="s">
        <v>230</v>
      </c>
      <c r="B40" s="14">
        <v>5</v>
      </c>
      <c r="C40" t="s">
        <v>231</v>
      </c>
      <c r="D40" t="s">
        <v>232</v>
      </c>
    </row>
    <row r="43" spans="1:4" x14ac:dyDescent="0.2">
      <c r="A43" s="6" t="s">
        <v>233</v>
      </c>
    </row>
    <row r="44" spans="1:4" ht="45" customHeight="1" x14ac:dyDescent="0.2">
      <c r="A44" s="7" t="s">
        <v>46</v>
      </c>
      <c r="B44" s="31" t="s">
        <v>234</v>
      </c>
      <c r="C44" s="32"/>
    </row>
    <row r="45" spans="1:4" ht="45" customHeight="1" x14ac:dyDescent="0.2">
      <c r="A45" s="7" t="s">
        <v>48</v>
      </c>
      <c r="B45" s="31" t="s">
        <v>235</v>
      </c>
      <c r="C45" s="32"/>
    </row>
    <row r="46" spans="1:4" ht="75" customHeight="1" x14ac:dyDescent="0.2">
      <c r="A46" s="7" t="s">
        <v>50</v>
      </c>
      <c r="B46" s="31" t="s">
        <v>236</v>
      </c>
      <c r="C46" s="32"/>
    </row>
    <row r="47" spans="1:4" ht="45" customHeight="1" x14ac:dyDescent="0.2">
      <c r="A47" s="7" t="s">
        <v>52</v>
      </c>
      <c r="B47" s="31" t="s">
        <v>237</v>
      </c>
      <c r="C47" s="32"/>
    </row>
    <row r="48" spans="1:4" ht="15" customHeight="1" x14ac:dyDescent="0.2">
      <c r="A48" s="7" t="s">
        <v>54</v>
      </c>
      <c r="B48" s="31" t="s">
        <v>238</v>
      </c>
      <c r="C48" s="32"/>
    </row>
    <row r="49" spans="1:3" x14ac:dyDescent="0.2">
      <c r="A49" s="9" t="s">
        <v>56</v>
      </c>
      <c r="B49" s="9" t="s">
        <v>57</v>
      </c>
      <c r="C49" s="9" t="s">
        <v>182</v>
      </c>
    </row>
    <row r="50" spans="1:3" x14ac:dyDescent="0.2">
      <c r="A50" t="s">
        <v>239</v>
      </c>
      <c r="B50" s="15">
        <v>1500</v>
      </c>
      <c r="C50" t="s">
        <v>240</v>
      </c>
    </row>
    <row r="51" spans="1:3" x14ac:dyDescent="0.2">
      <c r="A51" t="s">
        <v>241</v>
      </c>
      <c r="B51" s="15">
        <v>50000</v>
      </c>
      <c r="C51" t="s">
        <v>242</v>
      </c>
    </row>
    <row r="52" spans="1:3" x14ac:dyDescent="0.2">
      <c r="A52" t="s">
        <v>243</v>
      </c>
      <c r="B52" s="15">
        <v>15000</v>
      </c>
      <c r="C52" t="s">
        <v>240</v>
      </c>
    </row>
    <row r="55" spans="1:3" x14ac:dyDescent="0.2">
      <c r="A55" s="6" t="s">
        <v>244</v>
      </c>
    </row>
    <row r="56" spans="1:3" ht="60" customHeight="1" x14ac:dyDescent="0.2">
      <c r="A56" s="7" t="s">
        <v>46</v>
      </c>
      <c r="B56" s="31" t="s">
        <v>245</v>
      </c>
      <c r="C56" s="32"/>
    </row>
    <row r="57" spans="1:3" ht="60" customHeight="1" x14ac:dyDescent="0.2">
      <c r="A57" s="7" t="s">
        <v>48</v>
      </c>
      <c r="B57" s="31" t="s">
        <v>246</v>
      </c>
      <c r="C57" s="32"/>
    </row>
    <row r="58" spans="1:3" ht="60" customHeight="1" x14ac:dyDescent="0.2">
      <c r="A58" s="7" t="s">
        <v>50</v>
      </c>
      <c r="B58" s="31" t="s">
        <v>247</v>
      </c>
      <c r="C58" s="32"/>
    </row>
    <row r="59" spans="1:3" ht="45" customHeight="1" x14ac:dyDescent="0.2">
      <c r="A59" s="7" t="s">
        <v>52</v>
      </c>
      <c r="B59" s="31" t="s">
        <v>248</v>
      </c>
      <c r="C59" s="32"/>
    </row>
    <row r="60" spans="1:3" ht="30" customHeight="1" x14ac:dyDescent="0.2">
      <c r="A60" s="7" t="s">
        <v>54</v>
      </c>
      <c r="B60" s="31" t="s">
        <v>249</v>
      </c>
      <c r="C60" s="32"/>
    </row>
    <row r="61" spans="1:3" x14ac:dyDescent="0.2">
      <c r="A61" s="9" t="s">
        <v>250</v>
      </c>
      <c r="B61" s="9" t="s">
        <v>205</v>
      </c>
      <c r="C61" s="9" t="s">
        <v>183</v>
      </c>
    </row>
    <row r="62" spans="1:3" x14ac:dyDescent="0.2">
      <c r="A62">
        <v>1</v>
      </c>
      <c r="B62" s="10">
        <v>0.5</v>
      </c>
      <c r="C62" t="s">
        <v>251</v>
      </c>
    </row>
    <row r="63" spans="1:3" x14ac:dyDescent="0.2">
      <c r="A63">
        <v>2</v>
      </c>
      <c r="B63" s="10">
        <v>0.75</v>
      </c>
      <c r="C63" t="s">
        <v>252</v>
      </c>
    </row>
    <row r="64" spans="1:3" x14ac:dyDescent="0.2">
      <c r="A64">
        <v>3</v>
      </c>
      <c r="B64" s="10">
        <v>1</v>
      </c>
      <c r="C64" t="s">
        <v>253</v>
      </c>
    </row>
    <row r="65" spans="1:6" x14ac:dyDescent="0.2">
      <c r="A65">
        <v>4</v>
      </c>
      <c r="B65" s="10">
        <v>1</v>
      </c>
      <c r="C65" t="s">
        <v>254</v>
      </c>
    </row>
    <row r="66" spans="1:6" x14ac:dyDescent="0.2">
      <c r="A66">
        <v>5</v>
      </c>
      <c r="B66" s="10">
        <v>1</v>
      </c>
      <c r="C66" t="s">
        <v>254</v>
      </c>
    </row>
    <row r="69" spans="1:6" x14ac:dyDescent="0.2">
      <c r="A69" s="6" t="s">
        <v>255</v>
      </c>
    </row>
    <row r="70" spans="1:6" ht="30" customHeight="1" x14ac:dyDescent="0.2">
      <c r="A70" s="7" t="s">
        <v>46</v>
      </c>
      <c r="B70" s="31" t="s">
        <v>256</v>
      </c>
      <c r="C70" s="32"/>
      <c r="D70" s="32"/>
      <c r="E70" s="32"/>
      <c r="F70" s="32"/>
    </row>
    <row r="71" spans="1:6" ht="30" customHeight="1" x14ac:dyDescent="0.2">
      <c r="A71" s="7" t="s">
        <v>48</v>
      </c>
      <c r="B71" s="31" t="s">
        <v>257</v>
      </c>
      <c r="C71" s="32"/>
      <c r="D71" s="32"/>
      <c r="E71" s="32"/>
      <c r="F71" s="32"/>
    </row>
    <row r="72" spans="1:6" ht="45" customHeight="1" x14ac:dyDescent="0.2">
      <c r="A72" s="7" t="s">
        <v>50</v>
      </c>
      <c r="B72" s="31" t="s">
        <v>258</v>
      </c>
      <c r="C72" s="32"/>
      <c r="D72" s="32"/>
      <c r="E72" s="32"/>
      <c r="F72" s="32"/>
    </row>
    <row r="73" spans="1:6" ht="30" customHeight="1" x14ac:dyDescent="0.2">
      <c r="A73" s="7" t="s">
        <v>52</v>
      </c>
      <c r="B73" s="31" t="s">
        <v>259</v>
      </c>
      <c r="C73" s="32"/>
      <c r="D73" s="32"/>
      <c r="E73" s="32"/>
      <c r="F73" s="32"/>
    </row>
    <row r="74" spans="1:6" ht="15" customHeight="1" x14ac:dyDescent="0.2">
      <c r="A74" s="7" t="s">
        <v>54</v>
      </c>
      <c r="B74" s="31" t="s">
        <v>260</v>
      </c>
      <c r="C74" s="32"/>
      <c r="D74" s="32"/>
      <c r="E74" s="32"/>
      <c r="F74" s="32"/>
    </row>
    <row r="75" spans="1:6" x14ac:dyDescent="0.2">
      <c r="A75" s="9" t="s">
        <v>261</v>
      </c>
      <c r="B75" s="9" t="s">
        <v>262</v>
      </c>
      <c r="C75" s="9" t="s">
        <v>263</v>
      </c>
      <c r="D75" s="9" t="s">
        <v>264</v>
      </c>
      <c r="E75" s="9" t="s">
        <v>265</v>
      </c>
      <c r="F75" s="9" t="s">
        <v>266</v>
      </c>
    </row>
    <row r="76" spans="1:6" x14ac:dyDescent="0.2">
      <c r="A76" t="s">
        <v>267</v>
      </c>
      <c r="B76" t="s">
        <v>107</v>
      </c>
      <c r="C76">
        <v>30</v>
      </c>
      <c r="D76">
        <v>2</v>
      </c>
      <c r="E76" s="16">
        <v>1000</v>
      </c>
      <c r="F76">
        <v>42</v>
      </c>
    </row>
    <row r="77" spans="1:6" x14ac:dyDescent="0.2">
      <c r="A77" t="s">
        <v>268</v>
      </c>
      <c r="B77" t="s">
        <v>107</v>
      </c>
      <c r="C77">
        <v>7</v>
      </c>
      <c r="D77">
        <v>2</v>
      </c>
      <c r="E77" s="16">
        <v>1000</v>
      </c>
      <c r="F77">
        <v>42</v>
      </c>
    </row>
    <row r="78" spans="1:6" x14ac:dyDescent="0.2">
      <c r="A78" t="s">
        <v>61</v>
      </c>
      <c r="B78" t="s">
        <v>269</v>
      </c>
      <c r="C78">
        <v>1</v>
      </c>
      <c r="D78">
        <v>10</v>
      </c>
      <c r="E78" s="16">
        <v>10</v>
      </c>
      <c r="F78">
        <v>1</v>
      </c>
    </row>
    <row r="80" spans="1:6" x14ac:dyDescent="0.2">
      <c r="A80" s="6" t="s">
        <v>270</v>
      </c>
    </row>
    <row r="81" spans="1:5" ht="30" customHeight="1" x14ac:dyDescent="0.2">
      <c r="A81" s="7" t="s">
        <v>46</v>
      </c>
      <c r="B81" s="31" t="s">
        <v>271</v>
      </c>
      <c r="C81" s="32"/>
      <c r="D81" s="32"/>
      <c r="E81" s="32"/>
    </row>
    <row r="82" spans="1:5" ht="30" customHeight="1" x14ac:dyDescent="0.2">
      <c r="A82" s="7" t="s">
        <v>48</v>
      </c>
      <c r="B82" s="31" t="s">
        <v>272</v>
      </c>
      <c r="C82" s="32"/>
      <c r="D82" s="32"/>
      <c r="E82" s="32"/>
    </row>
    <row r="83" spans="1:5" ht="60" customHeight="1" x14ac:dyDescent="0.2">
      <c r="A83" s="7" t="s">
        <v>50</v>
      </c>
      <c r="B83" s="31" t="s">
        <v>273</v>
      </c>
      <c r="C83" s="32"/>
      <c r="D83" s="32"/>
      <c r="E83" s="32"/>
    </row>
    <row r="84" spans="1:5" ht="30" customHeight="1" x14ac:dyDescent="0.2">
      <c r="A84" s="7" t="s">
        <v>52</v>
      </c>
      <c r="B84" s="31" t="s">
        <v>274</v>
      </c>
      <c r="C84" s="32"/>
      <c r="D84" s="32"/>
      <c r="E84" s="32"/>
    </row>
    <row r="85" spans="1:5" ht="30" customHeight="1" x14ac:dyDescent="0.2">
      <c r="A85" s="7" t="s">
        <v>54</v>
      </c>
      <c r="B85" s="31" t="s">
        <v>275</v>
      </c>
      <c r="C85" s="32"/>
      <c r="D85" s="32"/>
      <c r="E85" s="32"/>
    </row>
    <row r="86" spans="1:5" x14ac:dyDescent="0.2">
      <c r="A86" s="9" t="s">
        <v>261</v>
      </c>
      <c r="B86" s="9" t="s">
        <v>276</v>
      </c>
      <c r="C86" s="9" t="s">
        <v>277</v>
      </c>
      <c r="D86" s="9" t="s">
        <v>278</v>
      </c>
      <c r="E86" s="9" t="s">
        <v>279</v>
      </c>
    </row>
    <row r="87" spans="1:5" x14ac:dyDescent="0.2">
      <c r="A87" t="s">
        <v>267</v>
      </c>
      <c r="B87" t="str">
        <f>IF(INDEX(TestOpt_Latency,1)&lt;=7,"ENABLED","BLOCKED")</f>
        <v>BLOCKED</v>
      </c>
      <c r="C87" t="str">
        <f>IF(INDEX(TestOpt_Latency,1)&lt;=7,"ENABLED","BLOCKED")</f>
        <v>BLOCKED</v>
      </c>
      <c r="D87" t="str">
        <f>IF(INDEX(TestOpt_Latency,1)&lt;=14,"ENABLED","BLOCKED")</f>
        <v>BLOCKED</v>
      </c>
      <c r="E87" t="str">
        <f>IF(INDEX(TestOpt_Latency,1)&lt;=3,"ENABLED","BLOCKED")</f>
        <v>BLOCKED</v>
      </c>
    </row>
    <row r="88" spans="1:5" x14ac:dyDescent="0.2">
      <c r="A88" t="s">
        <v>268</v>
      </c>
      <c r="B88" t="str">
        <f>IF(INDEX(TestOpt_Latency,2)&lt;=7,"ENABLED","BLOCKED")</f>
        <v>BLOCKED</v>
      </c>
      <c r="C88" t="str">
        <f>IF(INDEX(TestOpt_Latency,2)&lt;=7,"ENABLED","BLOCKED")</f>
        <v>BLOCKED</v>
      </c>
      <c r="D88" t="str">
        <f>IF(INDEX(TestOpt_Latency,2)&lt;=14,"ENABLED","BLOCKED")</f>
        <v>BLOCKED</v>
      </c>
      <c r="E88" t="str">
        <f>IF(INDEX(TestOpt_Latency,2)&lt;=3,"ENABLED","BLOCKED")</f>
        <v>BLOCKED</v>
      </c>
    </row>
    <row r="89" spans="1:5" x14ac:dyDescent="0.2">
      <c r="A89" t="s">
        <v>61</v>
      </c>
      <c r="B89" t="str">
        <f>IF(INDEX(TestOpt_Latency,3)&lt;=7,"ENABLED","BLOCKED")</f>
        <v>ENABLED</v>
      </c>
      <c r="C89" t="str">
        <f>IF(INDEX(TestOpt_Latency,3)&lt;=7,"ENABLED","BLOCKED")</f>
        <v>ENABLED</v>
      </c>
      <c r="D89" t="str">
        <f>IF(INDEX(TestOpt_Latency,3)&lt;=14,"ENABLED","BLOCKED")</f>
        <v>ENABLED</v>
      </c>
      <c r="E89" t="str">
        <f>IF(INDEX(TestOpt_Latency,3)&lt;=3,"ENABLED","BLOCKED")</f>
        <v>ENABLED</v>
      </c>
    </row>
    <row r="92" spans="1:5" ht="19" x14ac:dyDescent="0.25">
      <c r="A92" s="4" t="s">
        <v>280</v>
      </c>
    </row>
    <row r="93" spans="1:5" x14ac:dyDescent="0.2">
      <c r="A93" t="s">
        <v>281</v>
      </c>
      <c r="B93" t="s">
        <v>282</v>
      </c>
    </row>
    <row r="94" spans="1:5" x14ac:dyDescent="0.2">
      <c r="A94" t="s">
        <v>267</v>
      </c>
      <c r="B94" t="s">
        <v>65</v>
      </c>
    </row>
    <row r="95" spans="1:5" x14ac:dyDescent="0.2">
      <c r="A95" t="s">
        <v>268</v>
      </c>
      <c r="B95" t="s">
        <v>283</v>
      </c>
    </row>
    <row r="96" spans="1:5" x14ac:dyDescent="0.2">
      <c r="A96" t="s">
        <v>61</v>
      </c>
      <c r="B96" t="s">
        <v>284</v>
      </c>
    </row>
    <row r="98" spans="1:4" ht="19" x14ac:dyDescent="0.25">
      <c r="A98" s="4" t="s">
        <v>285</v>
      </c>
    </row>
    <row r="99" spans="1:4" x14ac:dyDescent="0.2">
      <c r="A99" t="s">
        <v>286</v>
      </c>
    </row>
    <row r="101" spans="1:4" x14ac:dyDescent="0.2">
      <c r="A101" s="6" t="s">
        <v>287</v>
      </c>
    </row>
    <row r="102" spans="1:4" ht="30" customHeight="1" x14ac:dyDescent="0.2">
      <c r="A102" s="7" t="s">
        <v>46</v>
      </c>
      <c r="B102" s="31" t="s">
        <v>288</v>
      </c>
      <c r="C102" s="32"/>
      <c r="D102" s="32"/>
    </row>
    <row r="103" spans="1:4" ht="30" customHeight="1" x14ac:dyDescent="0.2">
      <c r="A103" s="7" t="s">
        <v>48</v>
      </c>
      <c r="B103" s="31" t="s">
        <v>289</v>
      </c>
      <c r="C103" s="32"/>
      <c r="D103" s="32"/>
    </row>
    <row r="104" spans="1:4" ht="75" customHeight="1" x14ac:dyDescent="0.2">
      <c r="A104" s="7" t="s">
        <v>50</v>
      </c>
      <c r="B104" s="31" t="s">
        <v>290</v>
      </c>
      <c r="C104" s="32"/>
      <c r="D104" s="32"/>
    </row>
    <row r="105" spans="1:4" ht="30" customHeight="1" x14ac:dyDescent="0.2">
      <c r="A105" s="7" t="s">
        <v>52</v>
      </c>
      <c r="B105" s="31" t="s">
        <v>291</v>
      </c>
      <c r="C105" s="32"/>
      <c r="D105" s="32"/>
    </row>
    <row r="106" spans="1:4" ht="30" customHeight="1" x14ac:dyDescent="0.2">
      <c r="A106" s="7" t="s">
        <v>54</v>
      </c>
      <c r="B106" s="31" t="s">
        <v>292</v>
      </c>
      <c r="C106" s="32"/>
      <c r="D106" s="32"/>
    </row>
    <row r="107" spans="1:4" x14ac:dyDescent="0.2">
      <c r="A107" s="9" t="s">
        <v>56</v>
      </c>
      <c r="B107" s="9" t="s">
        <v>57</v>
      </c>
      <c r="C107" s="9" t="s">
        <v>182</v>
      </c>
      <c r="D107" s="9" t="s">
        <v>183</v>
      </c>
    </row>
    <row r="108" spans="1:4" x14ac:dyDescent="0.2">
      <c r="A108" t="s">
        <v>293</v>
      </c>
      <c r="B108" s="17">
        <v>63.1</v>
      </c>
      <c r="C108" t="s">
        <v>294</v>
      </c>
      <c r="D108" t="s">
        <v>295</v>
      </c>
    </row>
    <row r="109" spans="1:4" x14ac:dyDescent="0.2">
      <c r="A109" t="s">
        <v>296</v>
      </c>
      <c r="B109" s="17">
        <v>50</v>
      </c>
      <c r="C109" t="s">
        <v>294</v>
      </c>
      <c r="D109" t="s">
        <v>297</v>
      </c>
    </row>
    <row r="110" spans="1:4" x14ac:dyDescent="0.2">
      <c r="A110" t="s">
        <v>298</v>
      </c>
      <c r="B110" s="17">
        <v>0.53200000000000003</v>
      </c>
      <c r="C110" t="s">
        <v>299</v>
      </c>
      <c r="D110" t="s">
        <v>300</v>
      </c>
    </row>
    <row r="111" spans="1:4" x14ac:dyDescent="0.2">
      <c r="A111" t="s">
        <v>301</v>
      </c>
      <c r="B111" s="17">
        <v>0.248</v>
      </c>
      <c r="C111" t="s">
        <v>299</v>
      </c>
      <c r="D111" t="s">
        <v>302</v>
      </c>
    </row>
    <row r="112" spans="1:4" x14ac:dyDescent="0.2">
      <c r="A112" t="s">
        <v>303</v>
      </c>
      <c r="B112" s="10">
        <v>15</v>
      </c>
      <c r="C112" t="s">
        <v>195</v>
      </c>
      <c r="D112" t="s">
        <v>304</v>
      </c>
    </row>
    <row r="113" spans="1:4" x14ac:dyDescent="0.2">
      <c r="A113" t="s">
        <v>305</v>
      </c>
      <c r="B113" s="10">
        <v>14</v>
      </c>
      <c r="C113" t="s">
        <v>195</v>
      </c>
      <c r="D113" t="s">
        <v>306</v>
      </c>
    </row>
    <row r="114" spans="1:4" x14ac:dyDescent="0.2">
      <c r="A114" t="s">
        <v>307</v>
      </c>
      <c r="B114" s="10">
        <v>8772</v>
      </c>
      <c r="C114" t="s">
        <v>308</v>
      </c>
      <c r="D114" t="s">
        <v>309</v>
      </c>
    </row>
    <row r="117" spans="1:4" x14ac:dyDescent="0.2">
      <c r="A117" s="6" t="s">
        <v>310</v>
      </c>
    </row>
    <row r="118" spans="1:4" ht="45" customHeight="1" x14ac:dyDescent="0.2">
      <c r="A118" s="7" t="s">
        <v>46</v>
      </c>
      <c r="B118" s="31" t="s">
        <v>311</v>
      </c>
      <c r="C118" s="32"/>
      <c r="D118" s="32"/>
    </row>
    <row r="119" spans="1:4" ht="30" customHeight="1" x14ac:dyDescent="0.2">
      <c r="A119" s="7" t="s">
        <v>48</v>
      </c>
      <c r="B119" s="31" t="s">
        <v>312</v>
      </c>
      <c r="C119" s="32"/>
      <c r="D119" s="32"/>
    </row>
    <row r="120" spans="1:4" ht="60" customHeight="1" x14ac:dyDescent="0.2">
      <c r="A120" s="7" t="s">
        <v>50</v>
      </c>
      <c r="B120" s="31" t="s">
        <v>313</v>
      </c>
      <c r="C120" s="32"/>
      <c r="D120" s="32"/>
    </row>
    <row r="121" spans="1:4" ht="30" customHeight="1" x14ac:dyDescent="0.2">
      <c r="A121" s="7" t="s">
        <v>52</v>
      </c>
      <c r="B121" s="31" t="s">
        <v>314</v>
      </c>
      <c r="C121" s="32"/>
      <c r="D121" s="32"/>
    </row>
    <row r="122" spans="1:4" ht="15" customHeight="1" x14ac:dyDescent="0.2">
      <c r="A122" s="7" t="s">
        <v>54</v>
      </c>
      <c r="B122" s="31" t="s">
        <v>219</v>
      </c>
      <c r="C122" s="32"/>
      <c r="D122" s="32"/>
    </row>
    <row r="123" spans="1:4" x14ac:dyDescent="0.2">
      <c r="A123" s="9" t="s">
        <v>315</v>
      </c>
      <c r="B123" s="9" t="s">
        <v>316</v>
      </c>
      <c r="C123" s="9" t="s">
        <v>317</v>
      </c>
      <c r="D123" s="9" t="s">
        <v>183</v>
      </c>
    </row>
    <row r="124" spans="1:4" x14ac:dyDescent="0.2">
      <c r="A124" t="s">
        <v>318</v>
      </c>
      <c r="B124" s="10">
        <v>14</v>
      </c>
      <c r="C124" t="s">
        <v>319</v>
      </c>
      <c r="D124" t="s">
        <v>320</v>
      </c>
    </row>
    <row r="125" spans="1:4" x14ac:dyDescent="0.2">
      <c r="A125" t="s">
        <v>321</v>
      </c>
      <c r="B125" s="10">
        <v>28</v>
      </c>
      <c r="C125" t="s">
        <v>322</v>
      </c>
      <c r="D125" t="s">
        <v>323</v>
      </c>
    </row>
    <row r="126" spans="1:4" x14ac:dyDescent="0.2">
      <c r="A126" t="s">
        <v>324</v>
      </c>
      <c r="B126" s="10">
        <v>42</v>
      </c>
      <c r="C126" t="s">
        <v>325</v>
      </c>
      <c r="D126" t="s">
        <v>326</v>
      </c>
    </row>
  </sheetData>
  <mergeCells count="45">
    <mergeCell ref="B121:D121"/>
    <mergeCell ref="B31:D31"/>
    <mergeCell ref="B122:D122"/>
    <mergeCell ref="B102:D102"/>
    <mergeCell ref="B82:E82"/>
    <mergeCell ref="B45:C45"/>
    <mergeCell ref="B105:D105"/>
    <mergeCell ref="B84:E84"/>
    <mergeCell ref="B5:D5"/>
    <mergeCell ref="B73:F73"/>
    <mergeCell ref="B32:D32"/>
    <mergeCell ref="B4:D4"/>
    <mergeCell ref="B35:D35"/>
    <mergeCell ref="B7:D7"/>
    <mergeCell ref="B18:D18"/>
    <mergeCell ref="B21:D21"/>
    <mergeCell ref="B6:D6"/>
    <mergeCell ref="B20:D20"/>
    <mergeCell ref="B33:D33"/>
    <mergeCell ref="B104:D104"/>
    <mergeCell ref="B44:C44"/>
    <mergeCell ref="B74:F74"/>
    <mergeCell ref="B19:D19"/>
    <mergeCell ref="B48:C48"/>
    <mergeCell ref="B118:D118"/>
    <mergeCell ref="B60:C60"/>
    <mergeCell ref="B81:E81"/>
    <mergeCell ref="B57:C57"/>
    <mergeCell ref="B106:D106"/>
    <mergeCell ref="B47:C47"/>
    <mergeCell ref="B120:D120"/>
    <mergeCell ref="B83:E83"/>
    <mergeCell ref="B59:C59"/>
    <mergeCell ref="B8:D8"/>
    <mergeCell ref="B72:F72"/>
    <mergeCell ref="B17:D17"/>
    <mergeCell ref="B46:C46"/>
    <mergeCell ref="B119:D119"/>
    <mergeCell ref="B71:F71"/>
    <mergeCell ref="B56:C56"/>
    <mergeCell ref="B85:E85"/>
    <mergeCell ref="B103:D103"/>
    <mergeCell ref="B34:D34"/>
    <mergeCell ref="B58:C58"/>
    <mergeCell ref="B70:F70"/>
  </mergeCells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47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327</v>
      </c>
    </row>
    <row r="3" spans="1:5" x14ac:dyDescent="0.2">
      <c r="A3" s="6" t="s">
        <v>327</v>
      </c>
    </row>
    <row r="4" spans="1:5" ht="45" customHeight="1" x14ac:dyDescent="0.2">
      <c r="A4" s="7" t="s">
        <v>46</v>
      </c>
      <c r="B4" s="31" t="s">
        <v>328</v>
      </c>
      <c r="C4" s="32"/>
      <c r="D4" s="32"/>
      <c r="E4" s="32"/>
    </row>
    <row r="5" spans="1:5" ht="45" customHeight="1" x14ac:dyDescent="0.2">
      <c r="A5" s="7" t="s">
        <v>48</v>
      </c>
      <c r="B5" s="31" t="s">
        <v>329</v>
      </c>
      <c r="C5" s="32"/>
      <c r="D5" s="32"/>
      <c r="E5" s="32"/>
    </row>
    <row r="6" spans="1:5" ht="105" customHeight="1" x14ac:dyDescent="0.2">
      <c r="A6" s="7" t="s">
        <v>50</v>
      </c>
      <c r="B6" s="31" t="s">
        <v>330</v>
      </c>
      <c r="C6" s="32"/>
      <c r="D6" s="32"/>
      <c r="E6" s="32"/>
    </row>
    <row r="7" spans="1:5" ht="30" customHeight="1" x14ac:dyDescent="0.2">
      <c r="A7" s="7" t="s">
        <v>52</v>
      </c>
      <c r="B7" s="31" t="s">
        <v>331</v>
      </c>
      <c r="C7" s="32"/>
      <c r="D7" s="32"/>
      <c r="E7" s="32"/>
    </row>
    <row r="8" spans="1:5" ht="30" customHeight="1" x14ac:dyDescent="0.2">
      <c r="A8" s="7" t="s">
        <v>54</v>
      </c>
      <c r="B8" s="31" t="s">
        <v>332</v>
      </c>
      <c r="C8" s="32"/>
      <c r="D8" s="32"/>
      <c r="E8" s="32"/>
    </row>
    <row r="9" spans="1:5" x14ac:dyDescent="0.2">
      <c r="A9" s="9" t="s">
        <v>333</v>
      </c>
      <c r="B9" s="9" t="s">
        <v>334</v>
      </c>
      <c r="C9" s="9" t="s">
        <v>335</v>
      </c>
      <c r="D9" s="9" t="s">
        <v>336</v>
      </c>
      <c r="E9" s="9" t="s">
        <v>59</v>
      </c>
    </row>
    <row r="10" spans="1:5" x14ac:dyDescent="0.2">
      <c r="A10" t="s">
        <v>337</v>
      </c>
      <c r="B10" t="s">
        <v>338</v>
      </c>
      <c r="C10" s="15">
        <v>104000</v>
      </c>
      <c r="D10">
        <v>7</v>
      </c>
      <c r="E10" t="s">
        <v>339</v>
      </c>
    </row>
    <row r="11" spans="1:5" x14ac:dyDescent="0.2">
      <c r="A11" t="s">
        <v>340</v>
      </c>
      <c r="B11" t="s">
        <v>341</v>
      </c>
      <c r="C11" s="15">
        <v>67500</v>
      </c>
      <c r="D11">
        <v>7</v>
      </c>
      <c r="E11" t="s">
        <v>342</v>
      </c>
    </row>
    <row r="12" spans="1:5" x14ac:dyDescent="0.2">
      <c r="A12" t="s">
        <v>343</v>
      </c>
      <c r="B12" t="s">
        <v>344</v>
      </c>
      <c r="C12" s="15">
        <v>78000</v>
      </c>
      <c r="D12">
        <v>14</v>
      </c>
      <c r="E12" t="s">
        <v>345</v>
      </c>
    </row>
    <row r="13" spans="1:5" x14ac:dyDescent="0.2">
      <c r="A13" t="s">
        <v>346</v>
      </c>
      <c r="B13" t="s">
        <v>347</v>
      </c>
      <c r="C13" s="15">
        <v>36000</v>
      </c>
      <c r="D13">
        <v>3</v>
      </c>
      <c r="E13" t="s">
        <v>348</v>
      </c>
    </row>
    <row r="16" spans="1:5" x14ac:dyDescent="0.2">
      <c r="A16" s="6" t="s">
        <v>349</v>
      </c>
    </row>
    <row r="17" spans="1:4" ht="45" customHeight="1" x14ac:dyDescent="0.2">
      <c r="A17" s="7" t="s">
        <v>46</v>
      </c>
      <c r="B17" s="31" t="s">
        <v>350</v>
      </c>
      <c r="C17" s="32"/>
      <c r="D17" s="32"/>
    </row>
    <row r="18" spans="1:4" ht="45" customHeight="1" x14ac:dyDescent="0.2">
      <c r="A18" s="7" t="s">
        <v>48</v>
      </c>
      <c r="B18" s="31" t="s">
        <v>351</v>
      </c>
      <c r="C18" s="32"/>
      <c r="D18" s="32"/>
    </row>
    <row r="19" spans="1:4" ht="105" customHeight="1" x14ac:dyDescent="0.2">
      <c r="A19" s="7" t="s">
        <v>50</v>
      </c>
      <c r="B19" s="31" t="s">
        <v>352</v>
      </c>
      <c r="C19" s="32"/>
      <c r="D19" s="32"/>
    </row>
    <row r="20" spans="1:4" ht="30" customHeight="1" x14ac:dyDescent="0.2">
      <c r="A20" s="7" t="s">
        <v>52</v>
      </c>
      <c r="B20" s="31" t="s">
        <v>353</v>
      </c>
      <c r="C20" s="32"/>
      <c r="D20" s="32"/>
    </row>
    <row r="21" spans="1:4" ht="15" customHeight="1" x14ac:dyDescent="0.2">
      <c r="A21" s="7" t="s">
        <v>54</v>
      </c>
      <c r="B21" s="31" t="s">
        <v>354</v>
      </c>
      <c r="C21" s="32"/>
      <c r="D21" s="32"/>
    </row>
    <row r="22" spans="1:4" x14ac:dyDescent="0.2">
      <c r="A22" s="9" t="s">
        <v>93</v>
      </c>
      <c r="B22" s="9" t="s">
        <v>355</v>
      </c>
      <c r="C22" s="9" t="s">
        <v>356</v>
      </c>
      <c r="D22" s="9" t="s">
        <v>357</v>
      </c>
    </row>
    <row r="23" spans="1:4" x14ac:dyDescent="0.2">
      <c r="A23" t="s">
        <v>65</v>
      </c>
      <c r="B23" s="11">
        <v>0</v>
      </c>
      <c r="C23" s="11">
        <v>0</v>
      </c>
      <c r="D23" s="11">
        <v>0</v>
      </c>
    </row>
    <row r="24" spans="1:4" x14ac:dyDescent="0.2">
      <c r="A24" t="s">
        <v>283</v>
      </c>
      <c r="B24" s="11">
        <v>4.0000000000000001E-3</v>
      </c>
      <c r="C24" s="11">
        <v>-0.02</v>
      </c>
      <c r="D24" s="11">
        <v>0.1</v>
      </c>
    </row>
    <row r="25" spans="1:4" x14ac:dyDescent="0.2">
      <c r="A25" t="s">
        <v>284</v>
      </c>
      <c r="B25" s="11">
        <v>-3.0000000000000001E-3</v>
      </c>
      <c r="C25" s="11">
        <v>0.01</v>
      </c>
      <c r="D25" s="11">
        <v>-0.1</v>
      </c>
    </row>
    <row r="28" spans="1:4" x14ac:dyDescent="0.2">
      <c r="A28" s="18" t="s">
        <v>358</v>
      </c>
    </row>
    <row r="29" spans="1:4" x14ac:dyDescent="0.2">
      <c r="A29" s="19" t="s">
        <v>359</v>
      </c>
    </row>
    <row r="30" spans="1:4" x14ac:dyDescent="0.2">
      <c r="A30" s="20" t="s">
        <v>360</v>
      </c>
    </row>
    <row r="31" spans="1:4" x14ac:dyDescent="0.2">
      <c r="A31" t="s">
        <v>361</v>
      </c>
    </row>
    <row r="32" spans="1:4" x14ac:dyDescent="0.2">
      <c r="A32" t="s">
        <v>362</v>
      </c>
    </row>
    <row r="33" spans="1:1" x14ac:dyDescent="0.2">
      <c r="A33" t="s">
        <v>363</v>
      </c>
    </row>
    <row r="34" spans="1:1" x14ac:dyDescent="0.2">
      <c r="A34" t="s">
        <v>364</v>
      </c>
    </row>
    <row r="35" spans="1:1" x14ac:dyDescent="0.2">
      <c r="A35" t="s">
        <v>365</v>
      </c>
    </row>
    <row r="36" spans="1:1" x14ac:dyDescent="0.2">
      <c r="A36" t="s">
        <v>366</v>
      </c>
    </row>
    <row r="37" spans="1:1" x14ac:dyDescent="0.2">
      <c r="A37" t="s">
        <v>367</v>
      </c>
    </row>
    <row r="38" spans="1:1" x14ac:dyDescent="0.2">
      <c r="A38" t="s">
        <v>368</v>
      </c>
    </row>
    <row r="40" spans="1:1" x14ac:dyDescent="0.2">
      <c r="A40" s="20" t="s">
        <v>369</v>
      </c>
    </row>
    <row r="41" spans="1:1" x14ac:dyDescent="0.2">
      <c r="A41" t="s">
        <v>370</v>
      </c>
    </row>
    <row r="42" spans="1:1" x14ac:dyDescent="0.2">
      <c r="A42" t="s">
        <v>362</v>
      </c>
    </row>
    <row r="43" spans="1:1" x14ac:dyDescent="0.2">
      <c r="A43" t="s">
        <v>371</v>
      </c>
    </row>
    <row r="44" spans="1:1" x14ac:dyDescent="0.2">
      <c r="A44" t="s">
        <v>372</v>
      </c>
    </row>
    <row r="45" spans="1:1" x14ac:dyDescent="0.2">
      <c r="A45" t="s">
        <v>373</v>
      </c>
    </row>
    <row r="46" spans="1:1" x14ac:dyDescent="0.2">
      <c r="A46" t="s">
        <v>374</v>
      </c>
    </row>
    <row r="47" spans="1:1" x14ac:dyDescent="0.2">
      <c r="A47" t="s">
        <v>375</v>
      </c>
    </row>
  </sheetData>
  <mergeCells count="10">
    <mergeCell ref="B21:D21"/>
    <mergeCell ref="B5:E5"/>
    <mergeCell ref="B20:D20"/>
    <mergeCell ref="B19:D19"/>
    <mergeCell ref="B8:E8"/>
    <mergeCell ref="B4:E4"/>
    <mergeCell ref="B6:E6"/>
    <mergeCell ref="B17:D17"/>
    <mergeCell ref="B18:D18"/>
    <mergeCell ref="B7:E7"/>
  </mergeCells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35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5" ht="21" x14ac:dyDescent="0.25">
      <c r="A1" s="5" t="s">
        <v>376</v>
      </c>
    </row>
    <row r="3" spans="1:5" x14ac:dyDescent="0.2">
      <c r="A3" s="6" t="s">
        <v>377</v>
      </c>
    </row>
    <row r="4" spans="1:5" ht="45" customHeight="1" x14ac:dyDescent="0.2">
      <c r="A4" s="7" t="s">
        <v>46</v>
      </c>
      <c r="B4" s="31" t="s">
        <v>378</v>
      </c>
      <c r="C4" s="32"/>
      <c r="D4" s="32"/>
      <c r="E4" s="32"/>
    </row>
    <row r="5" spans="1:5" ht="30" customHeight="1" x14ac:dyDescent="0.2">
      <c r="A5" s="7" t="s">
        <v>48</v>
      </c>
      <c r="B5" s="31" t="s">
        <v>379</v>
      </c>
      <c r="C5" s="32"/>
      <c r="D5" s="32"/>
      <c r="E5" s="32"/>
    </row>
    <row r="6" spans="1:5" ht="90" customHeight="1" x14ac:dyDescent="0.2">
      <c r="A6" s="7" t="s">
        <v>50</v>
      </c>
      <c r="B6" s="31" t="s">
        <v>380</v>
      </c>
      <c r="C6" s="32"/>
      <c r="D6" s="32"/>
      <c r="E6" s="32"/>
    </row>
    <row r="7" spans="1:5" ht="30" customHeight="1" x14ac:dyDescent="0.2">
      <c r="A7" s="7" t="s">
        <v>52</v>
      </c>
      <c r="B7" s="31" t="s">
        <v>381</v>
      </c>
      <c r="C7" s="32"/>
      <c r="D7" s="32"/>
      <c r="E7" s="32"/>
    </row>
    <row r="8" spans="1:5" ht="30" customHeight="1" x14ac:dyDescent="0.2">
      <c r="A8" s="7" t="s">
        <v>54</v>
      </c>
      <c r="B8" s="31" t="s">
        <v>382</v>
      </c>
      <c r="C8" s="32"/>
      <c r="D8" s="32"/>
      <c r="E8" s="32"/>
    </row>
    <row r="9" spans="1:5" x14ac:dyDescent="0.2">
      <c r="A9" s="9" t="s">
        <v>383</v>
      </c>
      <c r="B9" s="9" t="s">
        <v>384</v>
      </c>
      <c r="C9" s="9" t="s">
        <v>385</v>
      </c>
      <c r="D9" s="9" t="s">
        <v>386</v>
      </c>
      <c r="E9" s="9" t="s">
        <v>387</v>
      </c>
    </row>
    <row r="10" spans="1:5" x14ac:dyDescent="0.2">
      <c r="A10" t="s">
        <v>388</v>
      </c>
      <c r="B10" s="10">
        <v>14</v>
      </c>
      <c r="C10" s="10">
        <v>21</v>
      </c>
      <c r="D10" s="10">
        <v>35</v>
      </c>
      <c r="E10" t="s">
        <v>195</v>
      </c>
    </row>
    <row r="11" spans="1:5" x14ac:dyDescent="0.2">
      <c r="A11" t="s">
        <v>389</v>
      </c>
      <c r="B11" s="15">
        <v>3000</v>
      </c>
      <c r="C11" s="15">
        <v>7500</v>
      </c>
      <c r="D11" s="15">
        <v>15000</v>
      </c>
      <c r="E11" t="s">
        <v>240</v>
      </c>
    </row>
    <row r="12" spans="1:5" x14ac:dyDescent="0.2">
      <c r="A12" t="s">
        <v>390</v>
      </c>
      <c r="B12" s="10">
        <v>1</v>
      </c>
      <c r="C12" s="10">
        <v>3</v>
      </c>
      <c r="D12" s="10">
        <v>8</v>
      </c>
      <c r="E12" t="s">
        <v>391</v>
      </c>
    </row>
    <row r="13" spans="1:5" x14ac:dyDescent="0.2">
      <c r="A13" t="s">
        <v>392</v>
      </c>
      <c r="B13" s="10">
        <v>0.7</v>
      </c>
      <c r="C13" s="10">
        <v>1</v>
      </c>
      <c r="D13" s="10">
        <v>1.3</v>
      </c>
      <c r="E13" t="s">
        <v>393</v>
      </c>
    </row>
    <row r="16" spans="1:5" x14ac:dyDescent="0.2">
      <c r="A16" s="6" t="s">
        <v>394</v>
      </c>
    </row>
    <row r="17" spans="1:6" ht="30" customHeight="1" x14ac:dyDescent="0.2">
      <c r="A17" s="7" t="s">
        <v>46</v>
      </c>
      <c r="B17" s="31" t="s">
        <v>395</v>
      </c>
      <c r="C17" s="32"/>
      <c r="D17" s="32"/>
      <c r="E17" s="32"/>
      <c r="F17" s="32"/>
    </row>
    <row r="18" spans="1:6" ht="30" customHeight="1" x14ac:dyDescent="0.2">
      <c r="A18" s="7" t="s">
        <v>48</v>
      </c>
      <c r="B18" s="31" t="s">
        <v>396</v>
      </c>
      <c r="C18" s="32"/>
      <c r="D18" s="32"/>
      <c r="E18" s="32"/>
      <c r="F18" s="32"/>
    </row>
    <row r="19" spans="1:6" ht="60" customHeight="1" x14ac:dyDescent="0.2">
      <c r="A19" s="7" t="s">
        <v>50</v>
      </c>
      <c r="B19" s="31" t="s">
        <v>397</v>
      </c>
      <c r="C19" s="32"/>
      <c r="D19" s="32"/>
      <c r="E19" s="32"/>
      <c r="F19" s="32"/>
    </row>
    <row r="20" spans="1:6" ht="15" customHeight="1" x14ac:dyDescent="0.2">
      <c r="A20" s="7" t="s">
        <v>52</v>
      </c>
      <c r="B20" s="31" t="s">
        <v>398</v>
      </c>
      <c r="C20" s="32"/>
      <c r="D20" s="32"/>
      <c r="E20" s="32"/>
      <c r="F20" s="32"/>
    </row>
    <row r="21" spans="1:6" ht="15" customHeight="1" x14ac:dyDescent="0.2">
      <c r="A21" s="7" t="s">
        <v>54</v>
      </c>
      <c r="B21" s="31" t="s">
        <v>399</v>
      </c>
      <c r="C21" s="32"/>
      <c r="D21" s="32"/>
      <c r="E21" s="32"/>
      <c r="F21" s="32"/>
    </row>
    <row r="22" spans="1:6" x14ac:dyDescent="0.2">
      <c r="A22" s="9" t="s">
        <v>383</v>
      </c>
      <c r="B22" s="9" t="s">
        <v>400</v>
      </c>
      <c r="C22" s="9" t="s">
        <v>401</v>
      </c>
      <c r="D22" s="9" t="s">
        <v>384</v>
      </c>
      <c r="E22" s="9" t="s">
        <v>386</v>
      </c>
      <c r="F22" s="9" t="s">
        <v>387</v>
      </c>
    </row>
    <row r="23" spans="1:6" x14ac:dyDescent="0.2">
      <c r="A23" t="s">
        <v>402</v>
      </c>
      <c r="B23" s="10">
        <v>2</v>
      </c>
      <c r="C23" s="10">
        <v>5</v>
      </c>
      <c r="D23" s="10">
        <v>0.05</v>
      </c>
      <c r="E23" s="10">
        <v>0.4</v>
      </c>
      <c r="F23" t="s">
        <v>403</v>
      </c>
    </row>
    <row r="26" spans="1:6" x14ac:dyDescent="0.2">
      <c r="A26" s="6" t="s">
        <v>404</v>
      </c>
    </row>
    <row r="27" spans="1:6" ht="30" customHeight="1" x14ac:dyDescent="0.2">
      <c r="A27" s="7" t="s">
        <v>46</v>
      </c>
      <c r="B27" s="31" t="s">
        <v>405</v>
      </c>
      <c r="C27" s="32"/>
      <c r="D27" s="32"/>
      <c r="E27" s="32"/>
    </row>
    <row r="28" spans="1:6" ht="30" customHeight="1" x14ac:dyDescent="0.2">
      <c r="A28" s="7" t="s">
        <v>48</v>
      </c>
      <c r="B28" s="31" t="s">
        <v>406</v>
      </c>
      <c r="C28" s="32"/>
      <c r="D28" s="32"/>
      <c r="E28" s="32"/>
    </row>
    <row r="29" spans="1:6" ht="90" customHeight="1" x14ac:dyDescent="0.2">
      <c r="A29" s="7" t="s">
        <v>50</v>
      </c>
      <c r="B29" s="31" t="s">
        <v>407</v>
      </c>
      <c r="C29" s="32"/>
      <c r="D29" s="32"/>
      <c r="E29" s="32"/>
    </row>
    <row r="30" spans="1:6" ht="30" customHeight="1" x14ac:dyDescent="0.2">
      <c r="A30" s="7" t="s">
        <v>52</v>
      </c>
      <c r="B30" s="31" t="s">
        <v>408</v>
      </c>
      <c r="C30" s="32"/>
      <c r="D30" s="32"/>
      <c r="E30" s="32"/>
    </row>
    <row r="31" spans="1:6" ht="15" customHeight="1" x14ac:dyDescent="0.2">
      <c r="A31" s="7" t="s">
        <v>54</v>
      </c>
      <c r="B31" s="31" t="s">
        <v>409</v>
      </c>
      <c r="C31" s="32"/>
      <c r="D31" s="32"/>
      <c r="E31" s="32"/>
    </row>
    <row r="32" spans="1:6" x14ac:dyDescent="0.2">
      <c r="A32" s="9" t="s">
        <v>410</v>
      </c>
      <c r="B32" s="9" t="s">
        <v>411</v>
      </c>
      <c r="C32" s="9" t="s">
        <v>65</v>
      </c>
      <c r="D32" s="9" t="s">
        <v>412</v>
      </c>
      <c r="E32" s="9" t="s">
        <v>413</v>
      </c>
    </row>
    <row r="33" spans="1:5" x14ac:dyDescent="0.2">
      <c r="A33" t="s">
        <v>414</v>
      </c>
      <c r="B33" s="15">
        <v>3</v>
      </c>
      <c r="C33" s="15">
        <v>5</v>
      </c>
      <c r="D33" s="15">
        <v>8</v>
      </c>
      <c r="E33" t="s">
        <v>415</v>
      </c>
    </row>
    <row r="34" spans="1:5" x14ac:dyDescent="0.2">
      <c r="A34" t="s">
        <v>416</v>
      </c>
      <c r="B34" s="15">
        <v>10</v>
      </c>
      <c r="C34" s="15">
        <v>20</v>
      </c>
      <c r="D34" s="15">
        <v>30</v>
      </c>
      <c r="E34" t="s">
        <v>417</v>
      </c>
    </row>
    <row r="35" spans="1:5" x14ac:dyDescent="0.2">
      <c r="A35" t="s">
        <v>418</v>
      </c>
      <c r="B35" s="15">
        <v>21</v>
      </c>
      <c r="C35" s="15">
        <v>50</v>
      </c>
      <c r="D35" s="15">
        <v>93</v>
      </c>
      <c r="E35" t="s">
        <v>419</v>
      </c>
    </row>
  </sheetData>
  <mergeCells count="15">
    <mergeCell ref="B21:F21"/>
    <mergeCell ref="B31:E31"/>
    <mergeCell ref="B27:E27"/>
    <mergeCell ref="B8:E8"/>
    <mergeCell ref="B4:E4"/>
    <mergeCell ref="B20:F20"/>
    <mergeCell ref="B6:E6"/>
    <mergeCell ref="B30:E30"/>
    <mergeCell ref="B19:F19"/>
    <mergeCell ref="B29:E29"/>
    <mergeCell ref="B7:E7"/>
    <mergeCell ref="B5:E5"/>
    <mergeCell ref="B28:E28"/>
    <mergeCell ref="B17:F17"/>
    <mergeCell ref="B18:F18"/>
  </mergeCells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30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420</v>
      </c>
    </row>
    <row r="3" spans="1:5" x14ac:dyDescent="0.2">
      <c r="A3" s="36" t="s">
        <v>421</v>
      </c>
      <c r="B3" s="34"/>
      <c r="C3" s="34"/>
      <c r="D3" s="34"/>
      <c r="E3" s="35"/>
    </row>
    <row r="4" spans="1:5" ht="135" customHeight="1" x14ac:dyDescent="0.2">
      <c r="A4" s="33" t="s">
        <v>422</v>
      </c>
      <c r="B4" s="34"/>
      <c r="C4" s="34"/>
      <c r="D4" s="34"/>
      <c r="E4" s="35"/>
    </row>
    <row r="6" spans="1:5" x14ac:dyDescent="0.2">
      <c r="A6" s="6" t="s">
        <v>420</v>
      </c>
    </row>
    <row r="7" spans="1:5" ht="30" customHeight="1" x14ac:dyDescent="0.2">
      <c r="A7" s="7" t="s">
        <v>46</v>
      </c>
      <c r="B7" s="31" t="s">
        <v>423</v>
      </c>
      <c r="C7" s="32"/>
      <c r="D7" s="32"/>
      <c r="E7" s="32"/>
    </row>
    <row r="8" spans="1:5" ht="30" customHeight="1" x14ac:dyDescent="0.2">
      <c r="A8" s="7" t="s">
        <v>48</v>
      </c>
      <c r="B8" s="31" t="s">
        <v>424</v>
      </c>
      <c r="C8" s="32"/>
      <c r="D8" s="32"/>
      <c r="E8" s="32"/>
    </row>
    <row r="9" spans="1:5" ht="60" customHeight="1" x14ac:dyDescent="0.2">
      <c r="A9" s="7" t="s">
        <v>50</v>
      </c>
      <c r="B9" s="31" t="s">
        <v>425</v>
      </c>
      <c r="C9" s="32"/>
      <c r="D9" s="32"/>
      <c r="E9" s="32"/>
    </row>
    <row r="10" spans="1:5" ht="15" customHeight="1" x14ac:dyDescent="0.2">
      <c r="A10" s="7" t="s">
        <v>52</v>
      </c>
      <c r="B10" s="31" t="s">
        <v>426</v>
      </c>
      <c r="C10" s="32"/>
      <c r="D10" s="32"/>
      <c r="E10" s="32"/>
    </row>
    <row r="11" spans="1:5" ht="15" customHeight="1" x14ac:dyDescent="0.2">
      <c r="A11" s="7" t="s">
        <v>54</v>
      </c>
      <c r="B11" s="31" t="s">
        <v>427</v>
      </c>
      <c r="C11" s="32"/>
      <c r="D11" s="32"/>
      <c r="E11" s="32"/>
    </row>
    <row r="12" spans="1:5" x14ac:dyDescent="0.2">
      <c r="A12" s="9" t="s">
        <v>428</v>
      </c>
      <c r="B12" s="9" t="s">
        <v>429</v>
      </c>
      <c r="C12" s="9" t="s">
        <v>194</v>
      </c>
      <c r="D12" s="9" t="s">
        <v>430</v>
      </c>
      <c r="E12" s="9" t="s">
        <v>431</v>
      </c>
    </row>
    <row r="13" spans="1:5" x14ac:dyDescent="0.2">
      <c r="A13">
        <v>0</v>
      </c>
      <c r="B13">
        <f>Base_Year+0</f>
        <v>2026</v>
      </c>
      <c r="C13">
        <f t="shared" ref="C13:C18" si="0">Season_Length</f>
        <v>100</v>
      </c>
      <c r="D13">
        <v>1</v>
      </c>
      <c r="E13">
        <v>1</v>
      </c>
    </row>
    <row r="14" spans="1:5" x14ac:dyDescent="0.2">
      <c r="A14">
        <v>1</v>
      </c>
      <c r="B14">
        <f>Base_Year+1</f>
        <v>2027</v>
      </c>
      <c r="C14">
        <f t="shared" si="0"/>
        <v>100</v>
      </c>
      <c r="D14">
        <f>1/(1+Discount_Rate)^1</f>
        <v>0.95419847328244267</v>
      </c>
      <c r="E14">
        <f>INDEX(LearningCurve_Mult,1)</f>
        <v>0.5</v>
      </c>
    </row>
    <row r="15" spans="1:5" x14ac:dyDescent="0.2">
      <c r="A15">
        <v>2</v>
      </c>
      <c r="B15">
        <f>Base_Year+2</f>
        <v>2028</v>
      </c>
      <c r="C15">
        <f t="shared" si="0"/>
        <v>100</v>
      </c>
      <c r="D15">
        <f>1/(1+Discount_Rate)^2</f>
        <v>0.91049472641454443</v>
      </c>
      <c r="E15">
        <f>INDEX(LearningCurve_Mult,2)</f>
        <v>0.75</v>
      </c>
    </row>
    <row r="16" spans="1:5" x14ac:dyDescent="0.2">
      <c r="A16">
        <v>3</v>
      </c>
      <c r="B16">
        <f>Base_Year+3</f>
        <v>2029</v>
      </c>
      <c r="C16">
        <f t="shared" si="0"/>
        <v>100</v>
      </c>
      <c r="D16">
        <f>1/(1+Discount_Rate)^3</f>
        <v>0.86879267787647374</v>
      </c>
      <c r="E16">
        <f>INDEX(LearningCurve_Mult,3)</f>
        <v>1</v>
      </c>
    </row>
    <row r="17" spans="1:5" x14ac:dyDescent="0.2">
      <c r="A17">
        <v>4</v>
      </c>
      <c r="B17">
        <f>Base_Year+4</f>
        <v>2030</v>
      </c>
      <c r="C17">
        <f t="shared" si="0"/>
        <v>100</v>
      </c>
      <c r="D17">
        <f>1/(1+Discount_Rate)^4</f>
        <v>0.82900064682869612</v>
      </c>
      <c r="E17">
        <f>INDEX(LearningCurve_Mult,4)</f>
        <v>1</v>
      </c>
    </row>
    <row r="18" spans="1:5" x14ac:dyDescent="0.2">
      <c r="A18">
        <v>5</v>
      </c>
      <c r="B18">
        <f>Base_Year+5</f>
        <v>2031</v>
      </c>
      <c r="C18">
        <f t="shared" si="0"/>
        <v>100</v>
      </c>
      <c r="D18">
        <f>1/(1+Discount_Rate)^5</f>
        <v>0.79103115155409931</v>
      </c>
      <c r="E18">
        <f>INDEX(LearningCurve_Mult,5)</f>
        <v>1</v>
      </c>
    </row>
    <row r="21" spans="1:5" ht="19" x14ac:dyDescent="0.25">
      <c r="A21" s="4" t="s">
        <v>432</v>
      </c>
    </row>
    <row r="22" spans="1:5" x14ac:dyDescent="0.2">
      <c r="A22" s="21" t="s">
        <v>433</v>
      </c>
    </row>
    <row r="23" spans="1:5" x14ac:dyDescent="0.2">
      <c r="A23" s="9" t="s">
        <v>434</v>
      </c>
      <c r="B23" s="9" t="s">
        <v>435</v>
      </c>
      <c r="C23" s="9" t="s">
        <v>57</v>
      </c>
      <c r="D23" s="9" t="s">
        <v>182</v>
      </c>
    </row>
    <row r="24" spans="1:5" x14ac:dyDescent="0.2">
      <c r="A24" t="s">
        <v>436</v>
      </c>
      <c r="B24" t="s">
        <v>437</v>
      </c>
      <c r="C24" s="22">
        <f ca="1">Rapid_Phase_Rate*Stoch_TreatmentRate</f>
        <v>0.55235341719392717</v>
      </c>
      <c r="D24" t="s">
        <v>299</v>
      </c>
    </row>
    <row r="25" spans="1:5" x14ac:dyDescent="0.2">
      <c r="A25" t="s">
        <v>438</v>
      </c>
      <c r="B25" t="s">
        <v>439</v>
      </c>
      <c r="C25" s="22">
        <f ca="1">Slow_Phase_Rate*Stoch_TreatmentRate</f>
        <v>0.25748805914303369</v>
      </c>
      <c r="D25" t="s">
        <v>299</v>
      </c>
    </row>
    <row r="26" spans="1:5" x14ac:dyDescent="0.2">
      <c r="A26" t="s">
        <v>440</v>
      </c>
      <c r="B26" t="s">
        <v>441</v>
      </c>
      <c r="C26" s="23">
        <f ca="1">MAX(0,Initial_NAFC-Eff_Rapid_Rate*Rapid_Phase_Duration)</f>
        <v>54.814698742091096</v>
      </c>
      <c r="D26" t="s">
        <v>294</v>
      </c>
    </row>
    <row r="27" spans="1:5" x14ac:dyDescent="0.2">
      <c r="A27" t="s">
        <v>442</v>
      </c>
      <c r="B27" t="s">
        <v>443</v>
      </c>
      <c r="C27" s="24">
        <f ca="1">IF(Initial_NAFC&lt;=Target_NAFC,0,IF(NAFC_After_Rapid&lt;=Target_NAFC,(Initial_NAFC-Target_NAFC)/Eff_Rapid_Rate,Rapid_Phase_Duration+(NAFC_After_Rapid-Target_NAFC)/Eff_Slow_Rate))</f>
        <v>33.698726294785374</v>
      </c>
      <c r="D27" t="s">
        <v>195</v>
      </c>
    </row>
    <row r="28" spans="1:5" x14ac:dyDescent="0.2">
      <c r="A28" t="s">
        <v>444</v>
      </c>
      <c r="B28" t="s">
        <v>445</v>
      </c>
      <c r="C28" s="25">
        <f ca="1">CEILING(Days_to_Compliance/Recirculation_Cycle,1)</f>
        <v>3</v>
      </c>
      <c r="D28" t="s">
        <v>446</v>
      </c>
    </row>
    <row r="29" spans="1:5" x14ac:dyDescent="0.2">
      <c r="A29" t="s">
        <v>447</v>
      </c>
      <c r="B29" t="s">
        <v>448</v>
      </c>
      <c r="C29" s="26">
        <f>(Initial_NAFC-Target_NAFC)/Initial_NAFC</f>
        <v>0.2076069730586371</v>
      </c>
      <c r="D29" t="s">
        <v>403</v>
      </c>
    </row>
    <row r="30" spans="1:5" x14ac:dyDescent="0.2">
      <c r="A30" t="s">
        <v>449</v>
      </c>
      <c r="B30" t="s">
        <v>450</v>
      </c>
      <c r="C30" t="str">
        <f ca="1">IF(Days_to_Compliance&lt;=Season_Length,"ACHIEVABLE","EXCEEDS SEASON")</f>
        <v>ACHIEVABLE</v>
      </c>
      <c r="D30" t="s">
        <v>451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18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452</v>
      </c>
    </row>
    <row r="2" spans="1:3" x14ac:dyDescent="0.2">
      <c r="A2" s="13" t="s">
        <v>453</v>
      </c>
    </row>
    <row r="4" spans="1:3" x14ac:dyDescent="0.2">
      <c r="A4" s="36" t="s">
        <v>454</v>
      </c>
      <c r="B4" s="34"/>
      <c r="C4" s="35"/>
    </row>
    <row r="5" spans="1:3" ht="195" customHeight="1" x14ac:dyDescent="0.2">
      <c r="A5" s="33" t="s">
        <v>455</v>
      </c>
      <c r="B5" s="34"/>
      <c r="C5" s="35"/>
    </row>
    <row r="7" spans="1:3" x14ac:dyDescent="0.2">
      <c r="A7" s="6" t="s">
        <v>452</v>
      </c>
    </row>
    <row r="8" spans="1:3" ht="60" customHeight="1" x14ac:dyDescent="0.2">
      <c r="A8" s="7" t="s">
        <v>46</v>
      </c>
      <c r="B8" s="31" t="s">
        <v>456</v>
      </c>
      <c r="C8" s="32"/>
    </row>
    <row r="9" spans="1:3" ht="45" customHeight="1" x14ac:dyDescent="0.2">
      <c r="A9" s="7" t="s">
        <v>48</v>
      </c>
      <c r="B9" s="31" t="s">
        <v>457</v>
      </c>
      <c r="C9" s="32"/>
    </row>
    <row r="10" spans="1:3" ht="120" customHeight="1" x14ac:dyDescent="0.2">
      <c r="A10" s="7" t="s">
        <v>50</v>
      </c>
      <c r="B10" s="31" t="s">
        <v>458</v>
      </c>
      <c r="C10" s="32"/>
    </row>
    <row r="11" spans="1:3" ht="45" customHeight="1" x14ac:dyDescent="0.2">
      <c r="A11" s="7" t="s">
        <v>52</v>
      </c>
      <c r="B11" s="31" t="s">
        <v>459</v>
      </c>
      <c r="C11" s="32"/>
    </row>
    <row r="12" spans="1:3" ht="30" customHeight="1" x14ac:dyDescent="0.2">
      <c r="A12" s="7" t="s">
        <v>54</v>
      </c>
      <c r="B12" s="31" t="s">
        <v>460</v>
      </c>
      <c r="C12" s="32"/>
    </row>
    <row r="13" spans="1:3" x14ac:dyDescent="0.2">
      <c r="A13" s="9" t="s">
        <v>383</v>
      </c>
      <c r="B13" s="9" t="s">
        <v>461</v>
      </c>
      <c r="C13" s="9" t="s">
        <v>462</v>
      </c>
    </row>
    <row r="14" spans="1:3" x14ac:dyDescent="0.2">
      <c r="A14" t="s">
        <v>463</v>
      </c>
      <c r="B14">
        <f ca="1">RAND()</f>
        <v>0.12861363331344045</v>
      </c>
      <c r="C14">
        <f ca="1"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>18.348126504263156</v>
      </c>
    </row>
    <row r="15" spans="1:3" x14ac:dyDescent="0.2">
      <c r="A15" t="s">
        <v>464</v>
      </c>
      <c r="B15">
        <f ca="1">RAND()</f>
        <v>0.94441743555132474</v>
      </c>
      <c r="C15">
        <f ca="1"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>12763.388545057329</v>
      </c>
    </row>
    <row r="16" spans="1:3" x14ac:dyDescent="0.2">
      <c r="A16" t="s">
        <v>390</v>
      </c>
      <c r="B16">
        <f ca="1">RAND()</f>
        <v>0.4570214997654326</v>
      </c>
      <c r="C16">
        <f ca="1"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>3.6406138610797667</v>
      </c>
    </row>
    <row r="17" spans="1:3" x14ac:dyDescent="0.2">
      <c r="A17" t="s">
        <v>402</v>
      </c>
      <c r="B17">
        <f ca="1">RAND()</f>
        <v>0.14383340537930156</v>
      </c>
      <c r="C17">
        <f ca="1">Beta_Efficiency_Gain_Min+(Beta_Efficiency_Gain_Max-Beta_Efficiency_Gain_Min)*B17</f>
        <v>0.10034169188275555</v>
      </c>
    </row>
    <row r="18" spans="1:3" x14ac:dyDescent="0.2">
      <c r="A18" t="s">
        <v>392</v>
      </c>
      <c r="B18">
        <f ca="1">RAND()</f>
        <v>0.61939602249733594</v>
      </c>
      <c r="C18">
        <f ca="1"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>1.0382583029961037</v>
      </c>
    </row>
  </sheetData>
  <mergeCells count="7">
    <mergeCell ref="B12:C12"/>
    <mergeCell ref="A5:C5"/>
    <mergeCell ref="B11:C11"/>
    <mergeCell ref="B10:C10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18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465</v>
      </c>
    </row>
    <row r="3" spans="1:5" x14ac:dyDescent="0.2">
      <c r="A3" s="36" t="s">
        <v>466</v>
      </c>
      <c r="B3" s="34"/>
      <c r="C3" s="34"/>
      <c r="D3" s="34"/>
      <c r="E3" s="35"/>
    </row>
    <row r="4" spans="1:5" ht="225" customHeight="1" x14ac:dyDescent="0.2">
      <c r="A4" s="33" t="s">
        <v>467</v>
      </c>
      <c r="B4" s="34"/>
      <c r="C4" s="34"/>
      <c r="D4" s="34"/>
      <c r="E4" s="35"/>
    </row>
    <row r="6" spans="1:5" x14ac:dyDescent="0.2">
      <c r="A6" s="6" t="s">
        <v>465</v>
      </c>
    </row>
    <row r="7" spans="1:5" ht="30" customHeight="1" x14ac:dyDescent="0.2">
      <c r="A7" s="7" t="s">
        <v>46</v>
      </c>
      <c r="B7" s="31" t="s">
        <v>468</v>
      </c>
      <c r="C7" s="32"/>
      <c r="D7" s="32"/>
      <c r="E7" s="32"/>
    </row>
    <row r="8" spans="1:5" ht="45" customHeight="1" x14ac:dyDescent="0.2">
      <c r="A8" s="7" t="s">
        <v>48</v>
      </c>
      <c r="B8" s="31" t="s">
        <v>469</v>
      </c>
      <c r="C8" s="32"/>
      <c r="D8" s="32"/>
      <c r="E8" s="32"/>
    </row>
    <row r="9" spans="1:5" ht="90" customHeight="1" x14ac:dyDescent="0.2">
      <c r="A9" s="7" t="s">
        <v>50</v>
      </c>
      <c r="B9" s="31" t="s">
        <v>470</v>
      </c>
      <c r="C9" s="32"/>
      <c r="D9" s="32"/>
      <c r="E9" s="32"/>
    </row>
    <row r="10" spans="1:5" ht="30" customHeight="1" x14ac:dyDescent="0.2">
      <c r="A10" s="7" t="s">
        <v>52</v>
      </c>
      <c r="B10" s="31" t="s">
        <v>471</v>
      </c>
      <c r="C10" s="32"/>
      <c r="D10" s="32"/>
      <c r="E10" s="32"/>
    </row>
    <row r="11" spans="1:5" ht="30" customHeight="1" x14ac:dyDescent="0.2">
      <c r="A11" s="7" t="s">
        <v>54</v>
      </c>
      <c r="B11" s="31" t="s">
        <v>472</v>
      </c>
      <c r="C11" s="32"/>
      <c r="D11" s="32"/>
      <c r="E11" s="32"/>
    </row>
    <row r="12" spans="1:5" x14ac:dyDescent="0.2">
      <c r="A12" s="9" t="s">
        <v>93</v>
      </c>
      <c r="B12" s="9" t="s">
        <v>335</v>
      </c>
      <c r="C12" s="9" t="s">
        <v>473</v>
      </c>
      <c r="D12" s="9" t="s">
        <v>474</v>
      </c>
      <c r="E12" s="9" t="s">
        <v>475</v>
      </c>
    </row>
    <row r="13" spans="1:5" x14ac:dyDescent="0.2">
      <c r="A13" t="s">
        <v>476</v>
      </c>
      <c r="B13">
        <f>INDEX(Scenario_BaseValues,1)</f>
        <v>104000</v>
      </c>
      <c r="C13" t="str">
        <f>INDEX(Gate_S1,MATCH(Testing_Option,TestOpt_Option,0))</f>
        <v>ENABLED</v>
      </c>
      <c r="D13">
        <f ca="1">Stoch_SeasonExt/21</f>
        <v>0.87372030972681691</v>
      </c>
      <c r="E13">
        <f ca="1">IF(C13="ENABLED",B13*D13,0)</f>
        <v>90866.912211588962</v>
      </c>
    </row>
    <row r="14" spans="1:5" x14ac:dyDescent="0.2">
      <c r="A14" t="s">
        <v>477</v>
      </c>
      <c r="B14">
        <f>INDEX(Scenario_BaseValues,2)</f>
        <v>67500</v>
      </c>
      <c r="C14" t="str">
        <f>INDEX(Gate_S2,MATCH(Testing_Option,TestOpt_Option,0))</f>
        <v>ENABLED</v>
      </c>
      <c r="D14">
        <f ca="1">Stoch_Interventions/3</f>
        <v>1.2135379536932556</v>
      </c>
      <c r="E14">
        <f ca="1">IF(C14="ENABLED",B14*D14,0)</f>
        <v>81913.811874294755</v>
      </c>
    </row>
    <row r="15" spans="1:5" x14ac:dyDescent="0.2">
      <c r="A15" t="s">
        <v>478</v>
      </c>
      <c r="B15">
        <f>INDEX(Scenario_BaseValues,3)</f>
        <v>78000</v>
      </c>
      <c r="C15" t="str">
        <f>INDEX(Gate_S3,MATCH(Testing_Option,TestOpt_Option,0))</f>
        <v>ENABLED</v>
      </c>
      <c r="D15">
        <f ca="1">Stoch_Efficiency/0.15</f>
        <v>0.66894461255170368</v>
      </c>
      <c r="E15">
        <f ca="1">IF(C15="ENABLED",B15*D15,0)</f>
        <v>52177.679779032886</v>
      </c>
    </row>
    <row r="16" spans="1:5" x14ac:dyDescent="0.2">
      <c r="A16" t="s">
        <v>479</v>
      </c>
      <c r="B16">
        <f>INDEX(Scenario_BaseValues,4)</f>
        <v>36000</v>
      </c>
      <c r="C16" t="str">
        <f>INDEX(Gate_S4,MATCH(Testing_Option,TestOpt_Option,0))</f>
        <v>ENABLED</v>
      </c>
      <c r="D16">
        <f ca="1">1+Stoch_Efficiency</f>
        <v>1.1003416918827555</v>
      </c>
      <c r="E16">
        <f ca="1">IF(C16="ENABLED",B16*D16,0)</f>
        <v>39612.300907779201</v>
      </c>
    </row>
    <row r="18" spans="1:5" x14ac:dyDescent="0.2">
      <c r="A18" s="12" t="s">
        <v>480</v>
      </c>
      <c r="E18" s="16">
        <f ca="1">SUM(E13:E16)</f>
        <v>264570.70477269578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9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481</v>
      </c>
    </row>
    <row r="3" spans="1:3" x14ac:dyDescent="0.2">
      <c r="A3" s="36" t="s">
        <v>482</v>
      </c>
      <c r="B3" s="34"/>
      <c r="C3" s="35"/>
    </row>
    <row r="4" spans="1:3" ht="195" customHeight="1" x14ac:dyDescent="0.2">
      <c r="A4" s="33" t="s">
        <v>483</v>
      </c>
      <c r="B4" s="34"/>
      <c r="C4" s="35"/>
    </row>
    <row r="6" spans="1:3" x14ac:dyDescent="0.2">
      <c r="A6" s="6" t="s">
        <v>484</v>
      </c>
    </row>
    <row r="7" spans="1:3" ht="45" customHeight="1" x14ac:dyDescent="0.2">
      <c r="A7" s="7" t="s">
        <v>46</v>
      </c>
      <c r="B7" s="31" t="s">
        <v>485</v>
      </c>
      <c r="C7" s="32"/>
    </row>
    <row r="8" spans="1:3" ht="45" customHeight="1" x14ac:dyDescent="0.2">
      <c r="A8" s="7" t="s">
        <v>48</v>
      </c>
      <c r="B8" s="31" t="s">
        <v>486</v>
      </c>
      <c r="C8" s="32"/>
    </row>
    <row r="9" spans="1:3" ht="90" customHeight="1" x14ac:dyDescent="0.2">
      <c r="A9" s="7" t="s">
        <v>50</v>
      </c>
      <c r="B9" s="31" t="s">
        <v>487</v>
      </c>
      <c r="C9" s="32"/>
    </row>
    <row r="10" spans="1:3" ht="30" customHeight="1" x14ac:dyDescent="0.2">
      <c r="A10" s="7" t="s">
        <v>52</v>
      </c>
      <c r="B10" s="31" t="s">
        <v>488</v>
      </c>
      <c r="C10" s="32"/>
    </row>
    <row r="11" spans="1:3" ht="30" customHeight="1" x14ac:dyDescent="0.2">
      <c r="A11" s="7" t="s">
        <v>54</v>
      </c>
      <c r="B11" s="31" t="s">
        <v>489</v>
      </c>
      <c r="C11" s="32"/>
    </row>
    <row r="12" spans="1:3" x14ac:dyDescent="0.2">
      <c r="A12" s="9" t="s">
        <v>490</v>
      </c>
      <c r="B12" s="9" t="s">
        <v>435</v>
      </c>
      <c r="C12" s="9" t="s">
        <v>57</v>
      </c>
    </row>
    <row r="13" spans="1:3" x14ac:dyDescent="0.2">
      <c r="A13" t="s">
        <v>491</v>
      </c>
      <c r="B13" t="s">
        <v>60</v>
      </c>
      <c r="C13" t="str">
        <f>Testing_Option</f>
        <v>Daily_Biosensor</v>
      </c>
    </row>
    <row r="14" spans="1:3" x14ac:dyDescent="0.2">
      <c r="A14" t="s">
        <v>492</v>
      </c>
      <c r="B14" t="s">
        <v>493</v>
      </c>
      <c r="C14">
        <f>INDEX(TestOpt_Interval,MATCH(Testing_Option,TestOpt_Option,0))</f>
        <v>1</v>
      </c>
    </row>
    <row r="15" spans="1:3" x14ac:dyDescent="0.2">
      <c r="A15" t="s">
        <v>494</v>
      </c>
      <c r="B15" t="s">
        <v>493</v>
      </c>
      <c r="C15">
        <f>INDEX(TestOpt_Points,MATCH(Testing_Option,TestOpt_Option,0))</f>
        <v>10</v>
      </c>
    </row>
    <row r="16" spans="1:3" x14ac:dyDescent="0.2">
      <c r="A16" t="s">
        <v>265</v>
      </c>
      <c r="B16" t="s">
        <v>493</v>
      </c>
      <c r="C16" s="16">
        <f>INDEX(TestOpt_Cost,MATCH(Testing_Option,TestOpt_Option,0))</f>
        <v>10</v>
      </c>
    </row>
    <row r="17" spans="1:3" x14ac:dyDescent="0.2">
      <c r="A17" t="s">
        <v>495</v>
      </c>
      <c r="B17" t="s">
        <v>496</v>
      </c>
      <c r="C17">
        <f>Season_Length/C14</f>
        <v>100</v>
      </c>
    </row>
    <row r="18" spans="1:3" x14ac:dyDescent="0.2">
      <c r="A18" t="s">
        <v>497</v>
      </c>
      <c r="B18" t="s">
        <v>498</v>
      </c>
      <c r="C18">
        <f>C17*C15</f>
        <v>1000</v>
      </c>
    </row>
    <row r="19" spans="1:3" x14ac:dyDescent="0.2">
      <c r="A19" t="s">
        <v>499</v>
      </c>
      <c r="B19" t="s">
        <v>500</v>
      </c>
      <c r="C19" s="27">
        <f>C18*C16</f>
        <v>10000</v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O1023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15" ht="21" x14ac:dyDescent="0.25">
      <c r="A1" s="5" t="s">
        <v>501</v>
      </c>
      <c r="L1" s="36" t="s">
        <v>502</v>
      </c>
      <c r="M1" s="34"/>
      <c r="N1" s="34"/>
      <c r="O1" s="35"/>
    </row>
    <row r="2" spans="1:15" ht="360" customHeight="1" x14ac:dyDescent="0.2">
      <c r="A2" s="13" t="s">
        <v>503</v>
      </c>
      <c r="L2" s="33" t="s">
        <v>504</v>
      </c>
      <c r="M2" s="34"/>
      <c r="N2" s="34"/>
      <c r="O2" s="35"/>
    </row>
    <row r="3" spans="1:15" x14ac:dyDescent="0.2">
      <c r="A3" s="13" t="s">
        <v>505</v>
      </c>
    </row>
    <row r="4" spans="1:15" x14ac:dyDescent="0.2">
      <c r="A4" s="12" t="s">
        <v>506</v>
      </c>
      <c r="B4" s="12" t="s">
        <v>113</v>
      </c>
      <c r="C4" s="12" t="s">
        <v>337</v>
      </c>
      <c r="D4" s="12" t="s">
        <v>340</v>
      </c>
      <c r="E4" s="12" t="s">
        <v>343</v>
      </c>
      <c r="F4" s="12" t="s">
        <v>346</v>
      </c>
      <c r="G4" s="12" t="s">
        <v>507</v>
      </c>
      <c r="H4" s="12" t="s">
        <v>508</v>
      </c>
      <c r="I4" s="12" t="s">
        <v>442</v>
      </c>
    </row>
    <row r="5" spans="1:15" x14ac:dyDescent="0.2">
      <c r="B5" s="16">
        <f ca="1">NPV_Total</f>
        <v>921829.0238590599</v>
      </c>
      <c r="C5" s="16">
        <f ca="1">S1_Value</f>
        <v>90866.912211588962</v>
      </c>
      <c r="D5" s="16">
        <f ca="1">S2_Value</f>
        <v>81913.811874294755</v>
      </c>
      <c r="E5" s="16">
        <f ca="1">S3_Value</f>
        <v>52177.679779032886</v>
      </c>
      <c r="F5" s="16">
        <f ca="1">S4_Value</f>
        <v>39612.300907779201</v>
      </c>
      <c r="G5" s="16">
        <f>Testing_Cost</f>
        <v>10000</v>
      </c>
      <c r="H5" s="16">
        <f ca="1">Gross_Value-Testing_Cost</f>
        <v>254570.70477269578</v>
      </c>
      <c r="I5" s="24">
        <f ca="1">Days_to_Compliance</f>
        <v>33.698726294785374</v>
      </c>
    </row>
    <row r="6" spans="1:15" x14ac:dyDescent="0.2">
      <c r="A6">
        <v>1</v>
      </c>
    </row>
    <row r="7" spans="1:15" x14ac:dyDescent="0.2">
      <c r="A7">
        <v>2</v>
      </c>
    </row>
    <row r="8" spans="1:15" x14ac:dyDescent="0.2">
      <c r="A8">
        <v>3</v>
      </c>
    </row>
    <row r="9" spans="1:15" x14ac:dyDescent="0.2">
      <c r="A9">
        <v>4</v>
      </c>
    </row>
    <row r="10" spans="1:15" x14ac:dyDescent="0.2">
      <c r="A10">
        <v>5</v>
      </c>
    </row>
    <row r="11" spans="1:15" x14ac:dyDescent="0.2">
      <c r="A11">
        <v>6</v>
      </c>
    </row>
    <row r="12" spans="1:15" x14ac:dyDescent="0.2">
      <c r="A12">
        <v>7</v>
      </c>
    </row>
    <row r="13" spans="1:15" x14ac:dyDescent="0.2">
      <c r="A13">
        <v>8</v>
      </c>
    </row>
    <row r="14" spans="1:15" x14ac:dyDescent="0.2">
      <c r="A14">
        <v>9</v>
      </c>
    </row>
    <row r="15" spans="1:15" x14ac:dyDescent="0.2">
      <c r="A15">
        <v>10</v>
      </c>
    </row>
    <row r="16" spans="1:15" x14ac:dyDescent="0.2">
      <c r="A16">
        <v>11</v>
      </c>
    </row>
    <row r="17" spans="1:1" x14ac:dyDescent="0.2">
      <c r="A17">
        <v>12</v>
      </c>
    </row>
    <row r="18" spans="1:1" x14ac:dyDescent="0.2">
      <c r="A18">
        <v>13</v>
      </c>
    </row>
    <row r="19" spans="1:1" x14ac:dyDescent="0.2">
      <c r="A19">
        <v>14</v>
      </c>
    </row>
    <row r="20" spans="1:1" x14ac:dyDescent="0.2">
      <c r="A20">
        <v>15</v>
      </c>
    </row>
    <row r="21" spans="1:1" x14ac:dyDescent="0.2">
      <c r="A21">
        <v>16</v>
      </c>
    </row>
    <row r="22" spans="1:1" x14ac:dyDescent="0.2">
      <c r="A22">
        <v>17</v>
      </c>
    </row>
    <row r="23" spans="1:1" x14ac:dyDescent="0.2">
      <c r="A23">
        <v>18</v>
      </c>
    </row>
    <row r="24" spans="1:1" x14ac:dyDescent="0.2">
      <c r="A24">
        <v>19</v>
      </c>
    </row>
    <row r="25" spans="1:1" x14ac:dyDescent="0.2">
      <c r="A25">
        <v>20</v>
      </c>
    </row>
    <row r="26" spans="1:1" x14ac:dyDescent="0.2">
      <c r="A26">
        <v>21</v>
      </c>
    </row>
    <row r="27" spans="1:1" x14ac:dyDescent="0.2">
      <c r="A27">
        <v>22</v>
      </c>
    </row>
    <row r="28" spans="1:1" x14ac:dyDescent="0.2">
      <c r="A28">
        <v>23</v>
      </c>
    </row>
    <row r="29" spans="1:1" x14ac:dyDescent="0.2">
      <c r="A29">
        <v>24</v>
      </c>
    </row>
    <row r="30" spans="1:1" x14ac:dyDescent="0.2">
      <c r="A30">
        <v>25</v>
      </c>
    </row>
    <row r="31" spans="1:1" x14ac:dyDescent="0.2">
      <c r="A31">
        <v>26</v>
      </c>
    </row>
    <row r="32" spans="1:1" x14ac:dyDescent="0.2">
      <c r="A32">
        <v>27</v>
      </c>
    </row>
    <row r="33" spans="1:1" x14ac:dyDescent="0.2">
      <c r="A33">
        <v>28</v>
      </c>
    </row>
    <row r="34" spans="1:1" x14ac:dyDescent="0.2">
      <c r="A34">
        <v>29</v>
      </c>
    </row>
    <row r="35" spans="1:1" x14ac:dyDescent="0.2">
      <c r="A35">
        <v>30</v>
      </c>
    </row>
    <row r="36" spans="1:1" x14ac:dyDescent="0.2">
      <c r="A36">
        <v>31</v>
      </c>
    </row>
    <row r="37" spans="1:1" x14ac:dyDescent="0.2">
      <c r="A37">
        <v>32</v>
      </c>
    </row>
    <row r="38" spans="1:1" x14ac:dyDescent="0.2">
      <c r="A38">
        <v>33</v>
      </c>
    </row>
    <row r="39" spans="1:1" x14ac:dyDescent="0.2">
      <c r="A39">
        <v>34</v>
      </c>
    </row>
    <row r="40" spans="1:1" x14ac:dyDescent="0.2">
      <c r="A40">
        <v>35</v>
      </c>
    </row>
    <row r="41" spans="1:1" x14ac:dyDescent="0.2">
      <c r="A41">
        <v>36</v>
      </c>
    </row>
    <row r="42" spans="1:1" x14ac:dyDescent="0.2">
      <c r="A42">
        <v>37</v>
      </c>
    </row>
    <row r="43" spans="1:1" x14ac:dyDescent="0.2">
      <c r="A43">
        <v>38</v>
      </c>
    </row>
    <row r="44" spans="1:1" x14ac:dyDescent="0.2">
      <c r="A44">
        <v>39</v>
      </c>
    </row>
    <row r="45" spans="1:1" x14ac:dyDescent="0.2">
      <c r="A45">
        <v>40</v>
      </c>
    </row>
    <row r="46" spans="1:1" x14ac:dyDescent="0.2">
      <c r="A46">
        <v>41</v>
      </c>
    </row>
    <row r="47" spans="1:1" x14ac:dyDescent="0.2">
      <c r="A47">
        <v>42</v>
      </c>
    </row>
    <row r="48" spans="1:1" x14ac:dyDescent="0.2">
      <c r="A48">
        <v>43</v>
      </c>
    </row>
    <row r="49" spans="1:1" x14ac:dyDescent="0.2">
      <c r="A49">
        <v>44</v>
      </c>
    </row>
    <row r="50" spans="1:1" x14ac:dyDescent="0.2">
      <c r="A50">
        <v>45</v>
      </c>
    </row>
    <row r="51" spans="1:1" x14ac:dyDescent="0.2">
      <c r="A51">
        <v>46</v>
      </c>
    </row>
    <row r="52" spans="1:1" x14ac:dyDescent="0.2">
      <c r="A52">
        <v>47</v>
      </c>
    </row>
    <row r="53" spans="1:1" x14ac:dyDescent="0.2">
      <c r="A53">
        <v>48</v>
      </c>
    </row>
    <row r="54" spans="1:1" x14ac:dyDescent="0.2">
      <c r="A54">
        <v>49</v>
      </c>
    </row>
    <row r="55" spans="1:1" x14ac:dyDescent="0.2">
      <c r="A55">
        <v>50</v>
      </c>
    </row>
    <row r="56" spans="1:1" x14ac:dyDescent="0.2">
      <c r="A56">
        <v>51</v>
      </c>
    </row>
    <row r="57" spans="1:1" x14ac:dyDescent="0.2">
      <c r="A57">
        <v>52</v>
      </c>
    </row>
    <row r="58" spans="1:1" x14ac:dyDescent="0.2">
      <c r="A58">
        <v>53</v>
      </c>
    </row>
    <row r="59" spans="1:1" x14ac:dyDescent="0.2">
      <c r="A59">
        <v>54</v>
      </c>
    </row>
    <row r="60" spans="1:1" x14ac:dyDescent="0.2">
      <c r="A60">
        <v>55</v>
      </c>
    </row>
    <row r="61" spans="1:1" x14ac:dyDescent="0.2">
      <c r="A61">
        <v>56</v>
      </c>
    </row>
    <row r="62" spans="1:1" x14ac:dyDescent="0.2">
      <c r="A62">
        <v>57</v>
      </c>
    </row>
    <row r="63" spans="1:1" x14ac:dyDescent="0.2">
      <c r="A63">
        <v>58</v>
      </c>
    </row>
    <row r="64" spans="1:1" x14ac:dyDescent="0.2">
      <c r="A64">
        <v>59</v>
      </c>
    </row>
    <row r="65" spans="1:1" x14ac:dyDescent="0.2">
      <c r="A65">
        <v>60</v>
      </c>
    </row>
    <row r="66" spans="1:1" x14ac:dyDescent="0.2">
      <c r="A66">
        <v>61</v>
      </c>
    </row>
    <row r="67" spans="1:1" x14ac:dyDescent="0.2">
      <c r="A67">
        <v>62</v>
      </c>
    </row>
    <row r="68" spans="1:1" x14ac:dyDescent="0.2">
      <c r="A68">
        <v>63</v>
      </c>
    </row>
    <row r="69" spans="1:1" x14ac:dyDescent="0.2">
      <c r="A69">
        <v>64</v>
      </c>
    </row>
    <row r="70" spans="1:1" x14ac:dyDescent="0.2">
      <c r="A70">
        <v>65</v>
      </c>
    </row>
    <row r="71" spans="1:1" x14ac:dyDescent="0.2">
      <c r="A71">
        <v>66</v>
      </c>
    </row>
    <row r="72" spans="1:1" x14ac:dyDescent="0.2">
      <c r="A72">
        <v>67</v>
      </c>
    </row>
    <row r="73" spans="1:1" x14ac:dyDescent="0.2">
      <c r="A73">
        <v>68</v>
      </c>
    </row>
    <row r="74" spans="1:1" x14ac:dyDescent="0.2">
      <c r="A74">
        <v>69</v>
      </c>
    </row>
    <row r="75" spans="1:1" x14ac:dyDescent="0.2">
      <c r="A75">
        <v>70</v>
      </c>
    </row>
    <row r="76" spans="1:1" x14ac:dyDescent="0.2">
      <c r="A76">
        <v>71</v>
      </c>
    </row>
    <row r="77" spans="1:1" x14ac:dyDescent="0.2">
      <c r="A77">
        <v>72</v>
      </c>
    </row>
    <row r="78" spans="1:1" x14ac:dyDescent="0.2">
      <c r="A78">
        <v>73</v>
      </c>
    </row>
    <row r="79" spans="1:1" x14ac:dyDescent="0.2">
      <c r="A79">
        <v>74</v>
      </c>
    </row>
    <row r="80" spans="1:1" x14ac:dyDescent="0.2">
      <c r="A80">
        <v>75</v>
      </c>
    </row>
    <row r="81" spans="1:1" x14ac:dyDescent="0.2">
      <c r="A81">
        <v>76</v>
      </c>
    </row>
    <row r="82" spans="1:1" x14ac:dyDescent="0.2">
      <c r="A82">
        <v>77</v>
      </c>
    </row>
    <row r="83" spans="1:1" x14ac:dyDescent="0.2">
      <c r="A83">
        <v>78</v>
      </c>
    </row>
    <row r="84" spans="1:1" x14ac:dyDescent="0.2">
      <c r="A84">
        <v>79</v>
      </c>
    </row>
    <row r="85" spans="1:1" x14ac:dyDescent="0.2">
      <c r="A85">
        <v>80</v>
      </c>
    </row>
    <row r="86" spans="1:1" x14ac:dyDescent="0.2">
      <c r="A86">
        <v>81</v>
      </c>
    </row>
    <row r="87" spans="1:1" x14ac:dyDescent="0.2">
      <c r="A87">
        <v>82</v>
      </c>
    </row>
    <row r="88" spans="1:1" x14ac:dyDescent="0.2">
      <c r="A88">
        <v>83</v>
      </c>
    </row>
    <row r="89" spans="1:1" x14ac:dyDescent="0.2">
      <c r="A89">
        <v>84</v>
      </c>
    </row>
    <row r="90" spans="1:1" x14ac:dyDescent="0.2">
      <c r="A90">
        <v>85</v>
      </c>
    </row>
    <row r="91" spans="1:1" x14ac:dyDescent="0.2">
      <c r="A91">
        <v>86</v>
      </c>
    </row>
    <row r="92" spans="1:1" x14ac:dyDescent="0.2">
      <c r="A92">
        <v>87</v>
      </c>
    </row>
    <row r="93" spans="1:1" x14ac:dyDescent="0.2">
      <c r="A93">
        <v>88</v>
      </c>
    </row>
    <row r="94" spans="1:1" x14ac:dyDescent="0.2">
      <c r="A94">
        <v>89</v>
      </c>
    </row>
    <row r="95" spans="1:1" x14ac:dyDescent="0.2">
      <c r="A95">
        <v>90</v>
      </c>
    </row>
    <row r="96" spans="1:1" x14ac:dyDescent="0.2">
      <c r="A96">
        <v>91</v>
      </c>
    </row>
    <row r="97" spans="1:1" x14ac:dyDescent="0.2">
      <c r="A97">
        <v>92</v>
      </c>
    </row>
    <row r="98" spans="1:1" x14ac:dyDescent="0.2">
      <c r="A98">
        <v>93</v>
      </c>
    </row>
    <row r="99" spans="1:1" x14ac:dyDescent="0.2">
      <c r="A99">
        <v>94</v>
      </c>
    </row>
    <row r="100" spans="1:1" x14ac:dyDescent="0.2">
      <c r="A100">
        <v>95</v>
      </c>
    </row>
    <row r="101" spans="1:1" x14ac:dyDescent="0.2">
      <c r="A101">
        <v>96</v>
      </c>
    </row>
    <row r="102" spans="1:1" x14ac:dyDescent="0.2">
      <c r="A102">
        <v>97</v>
      </c>
    </row>
    <row r="103" spans="1:1" x14ac:dyDescent="0.2">
      <c r="A103">
        <v>98</v>
      </c>
    </row>
    <row r="104" spans="1:1" x14ac:dyDescent="0.2">
      <c r="A104">
        <v>99</v>
      </c>
    </row>
    <row r="105" spans="1:1" x14ac:dyDescent="0.2">
      <c r="A105">
        <v>100</v>
      </c>
    </row>
    <row r="106" spans="1:1" x14ac:dyDescent="0.2">
      <c r="A106">
        <v>101</v>
      </c>
    </row>
    <row r="107" spans="1:1" x14ac:dyDescent="0.2">
      <c r="A107">
        <v>102</v>
      </c>
    </row>
    <row r="108" spans="1:1" x14ac:dyDescent="0.2">
      <c r="A108">
        <v>103</v>
      </c>
    </row>
    <row r="109" spans="1:1" x14ac:dyDescent="0.2">
      <c r="A109">
        <v>104</v>
      </c>
    </row>
    <row r="110" spans="1:1" x14ac:dyDescent="0.2">
      <c r="A110">
        <v>105</v>
      </c>
    </row>
    <row r="111" spans="1:1" x14ac:dyDescent="0.2">
      <c r="A111">
        <v>106</v>
      </c>
    </row>
    <row r="112" spans="1:1" x14ac:dyDescent="0.2">
      <c r="A112">
        <v>107</v>
      </c>
    </row>
    <row r="113" spans="1:1" x14ac:dyDescent="0.2">
      <c r="A113">
        <v>108</v>
      </c>
    </row>
    <row r="114" spans="1:1" x14ac:dyDescent="0.2">
      <c r="A114">
        <v>109</v>
      </c>
    </row>
    <row r="115" spans="1:1" x14ac:dyDescent="0.2">
      <c r="A115">
        <v>110</v>
      </c>
    </row>
    <row r="116" spans="1:1" x14ac:dyDescent="0.2">
      <c r="A116">
        <v>111</v>
      </c>
    </row>
    <row r="117" spans="1:1" x14ac:dyDescent="0.2">
      <c r="A117">
        <v>112</v>
      </c>
    </row>
    <row r="118" spans="1:1" x14ac:dyDescent="0.2">
      <c r="A118">
        <v>113</v>
      </c>
    </row>
    <row r="119" spans="1:1" x14ac:dyDescent="0.2">
      <c r="A119">
        <v>114</v>
      </c>
    </row>
    <row r="120" spans="1:1" x14ac:dyDescent="0.2">
      <c r="A120">
        <v>115</v>
      </c>
    </row>
    <row r="121" spans="1:1" x14ac:dyDescent="0.2">
      <c r="A121">
        <v>116</v>
      </c>
    </row>
    <row r="122" spans="1:1" x14ac:dyDescent="0.2">
      <c r="A122">
        <v>117</v>
      </c>
    </row>
    <row r="123" spans="1:1" x14ac:dyDescent="0.2">
      <c r="A123">
        <v>118</v>
      </c>
    </row>
    <row r="124" spans="1:1" x14ac:dyDescent="0.2">
      <c r="A124">
        <v>119</v>
      </c>
    </row>
    <row r="125" spans="1:1" x14ac:dyDescent="0.2">
      <c r="A125">
        <v>120</v>
      </c>
    </row>
    <row r="126" spans="1:1" x14ac:dyDescent="0.2">
      <c r="A126">
        <v>121</v>
      </c>
    </row>
    <row r="127" spans="1:1" x14ac:dyDescent="0.2">
      <c r="A127">
        <v>122</v>
      </c>
    </row>
    <row r="128" spans="1:1" x14ac:dyDescent="0.2">
      <c r="A128">
        <v>123</v>
      </c>
    </row>
    <row r="129" spans="1:1" x14ac:dyDescent="0.2">
      <c r="A129">
        <v>124</v>
      </c>
    </row>
    <row r="130" spans="1:1" x14ac:dyDescent="0.2">
      <c r="A130">
        <v>125</v>
      </c>
    </row>
    <row r="131" spans="1:1" x14ac:dyDescent="0.2">
      <c r="A131">
        <v>126</v>
      </c>
    </row>
    <row r="132" spans="1:1" x14ac:dyDescent="0.2">
      <c r="A132">
        <v>127</v>
      </c>
    </row>
    <row r="133" spans="1:1" x14ac:dyDescent="0.2">
      <c r="A133">
        <v>128</v>
      </c>
    </row>
    <row r="134" spans="1:1" x14ac:dyDescent="0.2">
      <c r="A134">
        <v>129</v>
      </c>
    </row>
    <row r="135" spans="1:1" x14ac:dyDescent="0.2">
      <c r="A135">
        <v>130</v>
      </c>
    </row>
    <row r="136" spans="1:1" x14ac:dyDescent="0.2">
      <c r="A136">
        <v>131</v>
      </c>
    </row>
    <row r="137" spans="1:1" x14ac:dyDescent="0.2">
      <c r="A137">
        <v>132</v>
      </c>
    </row>
    <row r="138" spans="1:1" x14ac:dyDescent="0.2">
      <c r="A138">
        <v>133</v>
      </c>
    </row>
    <row r="139" spans="1:1" x14ac:dyDescent="0.2">
      <c r="A139">
        <v>134</v>
      </c>
    </row>
    <row r="140" spans="1:1" x14ac:dyDescent="0.2">
      <c r="A140">
        <v>135</v>
      </c>
    </row>
    <row r="141" spans="1:1" x14ac:dyDescent="0.2">
      <c r="A141">
        <v>136</v>
      </c>
    </row>
    <row r="142" spans="1:1" x14ac:dyDescent="0.2">
      <c r="A142">
        <v>137</v>
      </c>
    </row>
    <row r="143" spans="1:1" x14ac:dyDescent="0.2">
      <c r="A143">
        <v>138</v>
      </c>
    </row>
    <row r="144" spans="1:1" x14ac:dyDescent="0.2">
      <c r="A144">
        <v>139</v>
      </c>
    </row>
    <row r="145" spans="1:1" x14ac:dyDescent="0.2">
      <c r="A145">
        <v>140</v>
      </c>
    </row>
    <row r="146" spans="1:1" x14ac:dyDescent="0.2">
      <c r="A146">
        <v>141</v>
      </c>
    </row>
    <row r="147" spans="1:1" x14ac:dyDescent="0.2">
      <c r="A147">
        <v>142</v>
      </c>
    </row>
    <row r="148" spans="1:1" x14ac:dyDescent="0.2">
      <c r="A148">
        <v>143</v>
      </c>
    </row>
    <row r="149" spans="1:1" x14ac:dyDescent="0.2">
      <c r="A149">
        <v>144</v>
      </c>
    </row>
    <row r="150" spans="1:1" x14ac:dyDescent="0.2">
      <c r="A150">
        <v>145</v>
      </c>
    </row>
    <row r="151" spans="1:1" x14ac:dyDescent="0.2">
      <c r="A151">
        <v>146</v>
      </c>
    </row>
    <row r="152" spans="1:1" x14ac:dyDescent="0.2">
      <c r="A152">
        <v>147</v>
      </c>
    </row>
    <row r="153" spans="1:1" x14ac:dyDescent="0.2">
      <c r="A153">
        <v>148</v>
      </c>
    </row>
    <row r="154" spans="1:1" x14ac:dyDescent="0.2">
      <c r="A154">
        <v>149</v>
      </c>
    </row>
    <row r="155" spans="1:1" x14ac:dyDescent="0.2">
      <c r="A155">
        <v>150</v>
      </c>
    </row>
    <row r="156" spans="1:1" x14ac:dyDescent="0.2">
      <c r="A156">
        <v>151</v>
      </c>
    </row>
    <row r="157" spans="1:1" x14ac:dyDescent="0.2">
      <c r="A157">
        <v>152</v>
      </c>
    </row>
    <row r="158" spans="1:1" x14ac:dyDescent="0.2">
      <c r="A158">
        <v>153</v>
      </c>
    </row>
    <row r="159" spans="1:1" x14ac:dyDescent="0.2">
      <c r="A159">
        <v>154</v>
      </c>
    </row>
    <row r="160" spans="1:1" x14ac:dyDescent="0.2">
      <c r="A160">
        <v>155</v>
      </c>
    </row>
    <row r="161" spans="1:1" x14ac:dyDescent="0.2">
      <c r="A161">
        <v>156</v>
      </c>
    </row>
    <row r="162" spans="1:1" x14ac:dyDescent="0.2">
      <c r="A162">
        <v>157</v>
      </c>
    </row>
    <row r="163" spans="1:1" x14ac:dyDescent="0.2">
      <c r="A163">
        <v>158</v>
      </c>
    </row>
    <row r="164" spans="1:1" x14ac:dyDescent="0.2">
      <c r="A164">
        <v>159</v>
      </c>
    </row>
    <row r="165" spans="1:1" x14ac:dyDescent="0.2">
      <c r="A165">
        <v>160</v>
      </c>
    </row>
    <row r="166" spans="1:1" x14ac:dyDescent="0.2">
      <c r="A166">
        <v>161</v>
      </c>
    </row>
    <row r="167" spans="1:1" x14ac:dyDescent="0.2">
      <c r="A167">
        <v>162</v>
      </c>
    </row>
    <row r="168" spans="1:1" x14ac:dyDescent="0.2">
      <c r="A168">
        <v>163</v>
      </c>
    </row>
    <row r="169" spans="1:1" x14ac:dyDescent="0.2">
      <c r="A169">
        <v>164</v>
      </c>
    </row>
    <row r="170" spans="1:1" x14ac:dyDescent="0.2">
      <c r="A170">
        <v>165</v>
      </c>
    </row>
    <row r="171" spans="1:1" x14ac:dyDescent="0.2">
      <c r="A171">
        <v>166</v>
      </c>
    </row>
    <row r="172" spans="1:1" x14ac:dyDescent="0.2">
      <c r="A172">
        <v>167</v>
      </c>
    </row>
    <row r="173" spans="1:1" x14ac:dyDescent="0.2">
      <c r="A173">
        <v>168</v>
      </c>
    </row>
    <row r="174" spans="1:1" x14ac:dyDescent="0.2">
      <c r="A174">
        <v>169</v>
      </c>
    </row>
    <row r="175" spans="1:1" x14ac:dyDescent="0.2">
      <c r="A175">
        <v>170</v>
      </c>
    </row>
    <row r="176" spans="1:1" x14ac:dyDescent="0.2">
      <c r="A176">
        <v>171</v>
      </c>
    </row>
    <row r="177" spans="1:1" x14ac:dyDescent="0.2">
      <c r="A177">
        <v>172</v>
      </c>
    </row>
    <row r="178" spans="1:1" x14ac:dyDescent="0.2">
      <c r="A178">
        <v>173</v>
      </c>
    </row>
    <row r="179" spans="1:1" x14ac:dyDescent="0.2">
      <c r="A179">
        <v>174</v>
      </c>
    </row>
    <row r="180" spans="1:1" x14ac:dyDescent="0.2">
      <c r="A180">
        <v>175</v>
      </c>
    </row>
    <row r="181" spans="1:1" x14ac:dyDescent="0.2">
      <c r="A181">
        <v>176</v>
      </c>
    </row>
    <row r="182" spans="1:1" x14ac:dyDescent="0.2">
      <c r="A182">
        <v>177</v>
      </c>
    </row>
    <row r="183" spans="1:1" x14ac:dyDescent="0.2">
      <c r="A183">
        <v>178</v>
      </c>
    </row>
    <row r="184" spans="1:1" x14ac:dyDescent="0.2">
      <c r="A184">
        <v>179</v>
      </c>
    </row>
    <row r="185" spans="1:1" x14ac:dyDescent="0.2">
      <c r="A185">
        <v>180</v>
      </c>
    </row>
    <row r="186" spans="1:1" x14ac:dyDescent="0.2">
      <c r="A186">
        <v>181</v>
      </c>
    </row>
    <row r="187" spans="1:1" x14ac:dyDescent="0.2">
      <c r="A187">
        <v>182</v>
      </c>
    </row>
    <row r="188" spans="1:1" x14ac:dyDescent="0.2">
      <c r="A188">
        <v>183</v>
      </c>
    </row>
    <row r="189" spans="1:1" x14ac:dyDescent="0.2">
      <c r="A189">
        <v>184</v>
      </c>
    </row>
    <row r="190" spans="1:1" x14ac:dyDescent="0.2">
      <c r="A190">
        <v>185</v>
      </c>
    </row>
    <row r="191" spans="1:1" x14ac:dyDescent="0.2">
      <c r="A191">
        <v>186</v>
      </c>
    </row>
    <row r="192" spans="1:1" x14ac:dyDescent="0.2">
      <c r="A192">
        <v>187</v>
      </c>
    </row>
    <row r="193" spans="1:1" x14ac:dyDescent="0.2">
      <c r="A193">
        <v>188</v>
      </c>
    </row>
    <row r="194" spans="1:1" x14ac:dyDescent="0.2">
      <c r="A194">
        <v>189</v>
      </c>
    </row>
    <row r="195" spans="1:1" x14ac:dyDescent="0.2">
      <c r="A195">
        <v>190</v>
      </c>
    </row>
    <row r="196" spans="1:1" x14ac:dyDescent="0.2">
      <c r="A196">
        <v>191</v>
      </c>
    </row>
    <row r="197" spans="1:1" x14ac:dyDescent="0.2">
      <c r="A197">
        <v>192</v>
      </c>
    </row>
    <row r="198" spans="1:1" x14ac:dyDescent="0.2">
      <c r="A198">
        <v>193</v>
      </c>
    </row>
    <row r="199" spans="1:1" x14ac:dyDescent="0.2">
      <c r="A199">
        <v>194</v>
      </c>
    </row>
    <row r="200" spans="1:1" x14ac:dyDescent="0.2">
      <c r="A200">
        <v>195</v>
      </c>
    </row>
    <row r="201" spans="1:1" x14ac:dyDescent="0.2">
      <c r="A201">
        <v>196</v>
      </c>
    </row>
    <row r="202" spans="1:1" x14ac:dyDescent="0.2">
      <c r="A202">
        <v>197</v>
      </c>
    </row>
    <row r="203" spans="1:1" x14ac:dyDescent="0.2">
      <c r="A203">
        <v>198</v>
      </c>
    </row>
    <row r="204" spans="1:1" x14ac:dyDescent="0.2">
      <c r="A204">
        <v>199</v>
      </c>
    </row>
    <row r="205" spans="1:1" x14ac:dyDescent="0.2">
      <c r="A205">
        <v>200</v>
      </c>
    </row>
    <row r="206" spans="1:1" x14ac:dyDescent="0.2">
      <c r="A206">
        <v>201</v>
      </c>
    </row>
    <row r="207" spans="1:1" x14ac:dyDescent="0.2">
      <c r="A207">
        <v>202</v>
      </c>
    </row>
    <row r="208" spans="1:1" x14ac:dyDescent="0.2">
      <c r="A208">
        <v>203</v>
      </c>
    </row>
    <row r="209" spans="1:1" x14ac:dyDescent="0.2">
      <c r="A209">
        <v>204</v>
      </c>
    </row>
    <row r="210" spans="1:1" x14ac:dyDescent="0.2">
      <c r="A210">
        <v>205</v>
      </c>
    </row>
    <row r="211" spans="1:1" x14ac:dyDescent="0.2">
      <c r="A211">
        <v>206</v>
      </c>
    </row>
    <row r="212" spans="1:1" x14ac:dyDescent="0.2">
      <c r="A212">
        <v>207</v>
      </c>
    </row>
    <row r="213" spans="1:1" x14ac:dyDescent="0.2">
      <c r="A213">
        <v>208</v>
      </c>
    </row>
    <row r="214" spans="1:1" x14ac:dyDescent="0.2">
      <c r="A214">
        <v>209</v>
      </c>
    </row>
    <row r="215" spans="1:1" x14ac:dyDescent="0.2">
      <c r="A215">
        <v>210</v>
      </c>
    </row>
    <row r="216" spans="1:1" x14ac:dyDescent="0.2">
      <c r="A216">
        <v>211</v>
      </c>
    </row>
    <row r="217" spans="1:1" x14ac:dyDescent="0.2">
      <c r="A217">
        <v>212</v>
      </c>
    </row>
    <row r="218" spans="1:1" x14ac:dyDescent="0.2">
      <c r="A218">
        <v>213</v>
      </c>
    </row>
    <row r="219" spans="1:1" x14ac:dyDescent="0.2">
      <c r="A219">
        <v>214</v>
      </c>
    </row>
    <row r="220" spans="1:1" x14ac:dyDescent="0.2">
      <c r="A220">
        <v>215</v>
      </c>
    </row>
    <row r="221" spans="1:1" x14ac:dyDescent="0.2">
      <c r="A221">
        <v>216</v>
      </c>
    </row>
    <row r="222" spans="1:1" x14ac:dyDescent="0.2">
      <c r="A222">
        <v>217</v>
      </c>
    </row>
    <row r="223" spans="1:1" x14ac:dyDescent="0.2">
      <c r="A223">
        <v>218</v>
      </c>
    </row>
    <row r="224" spans="1:1" x14ac:dyDescent="0.2">
      <c r="A224">
        <v>219</v>
      </c>
    </row>
    <row r="225" spans="1:1" x14ac:dyDescent="0.2">
      <c r="A225">
        <v>220</v>
      </c>
    </row>
    <row r="226" spans="1:1" x14ac:dyDescent="0.2">
      <c r="A226">
        <v>221</v>
      </c>
    </row>
    <row r="227" spans="1:1" x14ac:dyDescent="0.2">
      <c r="A227">
        <v>222</v>
      </c>
    </row>
    <row r="228" spans="1:1" x14ac:dyDescent="0.2">
      <c r="A228">
        <v>223</v>
      </c>
    </row>
    <row r="229" spans="1:1" x14ac:dyDescent="0.2">
      <c r="A229">
        <v>224</v>
      </c>
    </row>
    <row r="230" spans="1:1" x14ac:dyDescent="0.2">
      <c r="A230">
        <v>225</v>
      </c>
    </row>
    <row r="231" spans="1:1" x14ac:dyDescent="0.2">
      <c r="A231">
        <v>226</v>
      </c>
    </row>
    <row r="232" spans="1:1" x14ac:dyDescent="0.2">
      <c r="A232">
        <v>227</v>
      </c>
    </row>
    <row r="233" spans="1:1" x14ac:dyDescent="0.2">
      <c r="A233">
        <v>228</v>
      </c>
    </row>
    <row r="234" spans="1:1" x14ac:dyDescent="0.2">
      <c r="A234">
        <v>229</v>
      </c>
    </row>
    <row r="235" spans="1:1" x14ac:dyDescent="0.2">
      <c r="A235">
        <v>230</v>
      </c>
    </row>
    <row r="236" spans="1:1" x14ac:dyDescent="0.2">
      <c r="A236">
        <v>231</v>
      </c>
    </row>
    <row r="237" spans="1:1" x14ac:dyDescent="0.2">
      <c r="A237">
        <v>232</v>
      </c>
    </row>
    <row r="238" spans="1:1" x14ac:dyDescent="0.2">
      <c r="A238">
        <v>233</v>
      </c>
    </row>
    <row r="239" spans="1:1" x14ac:dyDescent="0.2">
      <c r="A239">
        <v>234</v>
      </c>
    </row>
    <row r="240" spans="1:1" x14ac:dyDescent="0.2">
      <c r="A240">
        <v>235</v>
      </c>
    </row>
    <row r="241" spans="1:1" x14ac:dyDescent="0.2">
      <c r="A241">
        <v>236</v>
      </c>
    </row>
    <row r="242" spans="1:1" x14ac:dyDescent="0.2">
      <c r="A242">
        <v>237</v>
      </c>
    </row>
    <row r="243" spans="1:1" x14ac:dyDescent="0.2">
      <c r="A243">
        <v>238</v>
      </c>
    </row>
    <row r="244" spans="1:1" x14ac:dyDescent="0.2">
      <c r="A244">
        <v>239</v>
      </c>
    </row>
    <row r="245" spans="1:1" x14ac:dyDescent="0.2">
      <c r="A245">
        <v>240</v>
      </c>
    </row>
    <row r="246" spans="1:1" x14ac:dyDescent="0.2">
      <c r="A246">
        <v>241</v>
      </c>
    </row>
    <row r="247" spans="1:1" x14ac:dyDescent="0.2">
      <c r="A247">
        <v>242</v>
      </c>
    </row>
    <row r="248" spans="1:1" x14ac:dyDescent="0.2">
      <c r="A248">
        <v>243</v>
      </c>
    </row>
    <row r="249" spans="1:1" x14ac:dyDescent="0.2">
      <c r="A249">
        <v>244</v>
      </c>
    </row>
    <row r="250" spans="1:1" x14ac:dyDescent="0.2">
      <c r="A250">
        <v>245</v>
      </c>
    </row>
    <row r="251" spans="1:1" x14ac:dyDescent="0.2">
      <c r="A251">
        <v>246</v>
      </c>
    </row>
    <row r="252" spans="1:1" x14ac:dyDescent="0.2">
      <c r="A252">
        <v>247</v>
      </c>
    </row>
    <row r="253" spans="1:1" x14ac:dyDescent="0.2">
      <c r="A253">
        <v>248</v>
      </c>
    </row>
    <row r="254" spans="1:1" x14ac:dyDescent="0.2">
      <c r="A254">
        <v>249</v>
      </c>
    </row>
    <row r="255" spans="1:1" x14ac:dyDescent="0.2">
      <c r="A255">
        <v>250</v>
      </c>
    </row>
    <row r="256" spans="1:1" x14ac:dyDescent="0.2">
      <c r="A256">
        <v>251</v>
      </c>
    </row>
    <row r="257" spans="1:1" x14ac:dyDescent="0.2">
      <c r="A257">
        <v>252</v>
      </c>
    </row>
    <row r="258" spans="1:1" x14ac:dyDescent="0.2">
      <c r="A258">
        <v>253</v>
      </c>
    </row>
    <row r="259" spans="1:1" x14ac:dyDescent="0.2">
      <c r="A259">
        <v>254</v>
      </c>
    </row>
    <row r="260" spans="1:1" x14ac:dyDescent="0.2">
      <c r="A260">
        <v>255</v>
      </c>
    </row>
    <row r="261" spans="1:1" x14ac:dyDescent="0.2">
      <c r="A261">
        <v>256</v>
      </c>
    </row>
    <row r="262" spans="1:1" x14ac:dyDescent="0.2">
      <c r="A262">
        <v>257</v>
      </c>
    </row>
    <row r="263" spans="1:1" x14ac:dyDescent="0.2">
      <c r="A263">
        <v>258</v>
      </c>
    </row>
    <row r="264" spans="1:1" x14ac:dyDescent="0.2">
      <c r="A264">
        <v>259</v>
      </c>
    </row>
    <row r="265" spans="1:1" x14ac:dyDescent="0.2">
      <c r="A265">
        <v>260</v>
      </c>
    </row>
    <row r="266" spans="1:1" x14ac:dyDescent="0.2">
      <c r="A266">
        <v>261</v>
      </c>
    </row>
    <row r="267" spans="1:1" x14ac:dyDescent="0.2">
      <c r="A267">
        <v>262</v>
      </c>
    </row>
    <row r="268" spans="1:1" x14ac:dyDescent="0.2">
      <c r="A268">
        <v>263</v>
      </c>
    </row>
    <row r="269" spans="1:1" x14ac:dyDescent="0.2">
      <c r="A269">
        <v>264</v>
      </c>
    </row>
    <row r="270" spans="1:1" x14ac:dyDescent="0.2">
      <c r="A270">
        <v>265</v>
      </c>
    </row>
    <row r="271" spans="1:1" x14ac:dyDescent="0.2">
      <c r="A271">
        <v>266</v>
      </c>
    </row>
    <row r="272" spans="1:1" x14ac:dyDescent="0.2">
      <c r="A272">
        <v>267</v>
      </c>
    </row>
    <row r="273" spans="1:1" x14ac:dyDescent="0.2">
      <c r="A273">
        <v>268</v>
      </c>
    </row>
    <row r="274" spans="1:1" x14ac:dyDescent="0.2">
      <c r="A274">
        <v>269</v>
      </c>
    </row>
    <row r="275" spans="1:1" x14ac:dyDescent="0.2">
      <c r="A275">
        <v>270</v>
      </c>
    </row>
    <row r="276" spans="1:1" x14ac:dyDescent="0.2">
      <c r="A276">
        <v>271</v>
      </c>
    </row>
    <row r="277" spans="1:1" x14ac:dyDescent="0.2">
      <c r="A277">
        <v>272</v>
      </c>
    </row>
    <row r="278" spans="1:1" x14ac:dyDescent="0.2">
      <c r="A278">
        <v>273</v>
      </c>
    </row>
    <row r="279" spans="1:1" x14ac:dyDescent="0.2">
      <c r="A279">
        <v>274</v>
      </c>
    </row>
    <row r="280" spans="1:1" x14ac:dyDescent="0.2">
      <c r="A280">
        <v>275</v>
      </c>
    </row>
    <row r="281" spans="1:1" x14ac:dyDescent="0.2">
      <c r="A281">
        <v>276</v>
      </c>
    </row>
    <row r="282" spans="1:1" x14ac:dyDescent="0.2">
      <c r="A282">
        <v>277</v>
      </c>
    </row>
    <row r="283" spans="1:1" x14ac:dyDescent="0.2">
      <c r="A283">
        <v>278</v>
      </c>
    </row>
    <row r="284" spans="1:1" x14ac:dyDescent="0.2">
      <c r="A284">
        <v>279</v>
      </c>
    </row>
    <row r="285" spans="1:1" x14ac:dyDescent="0.2">
      <c r="A285">
        <v>280</v>
      </c>
    </row>
    <row r="286" spans="1:1" x14ac:dyDescent="0.2">
      <c r="A286">
        <v>281</v>
      </c>
    </row>
    <row r="287" spans="1:1" x14ac:dyDescent="0.2">
      <c r="A287">
        <v>282</v>
      </c>
    </row>
    <row r="288" spans="1:1" x14ac:dyDescent="0.2">
      <c r="A288">
        <v>283</v>
      </c>
    </row>
    <row r="289" spans="1:1" x14ac:dyDescent="0.2">
      <c r="A289">
        <v>284</v>
      </c>
    </row>
    <row r="290" spans="1:1" x14ac:dyDescent="0.2">
      <c r="A290">
        <v>285</v>
      </c>
    </row>
    <row r="291" spans="1:1" x14ac:dyDescent="0.2">
      <c r="A291">
        <v>286</v>
      </c>
    </row>
    <row r="292" spans="1:1" x14ac:dyDescent="0.2">
      <c r="A292">
        <v>287</v>
      </c>
    </row>
    <row r="293" spans="1:1" x14ac:dyDescent="0.2">
      <c r="A293">
        <v>288</v>
      </c>
    </row>
    <row r="294" spans="1:1" x14ac:dyDescent="0.2">
      <c r="A294">
        <v>289</v>
      </c>
    </row>
    <row r="295" spans="1:1" x14ac:dyDescent="0.2">
      <c r="A295">
        <v>290</v>
      </c>
    </row>
    <row r="296" spans="1:1" x14ac:dyDescent="0.2">
      <c r="A296">
        <v>291</v>
      </c>
    </row>
    <row r="297" spans="1:1" x14ac:dyDescent="0.2">
      <c r="A297">
        <v>292</v>
      </c>
    </row>
    <row r="298" spans="1:1" x14ac:dyDescent="0.2">
      <c r="A298">
        <v>293</v>
      </c>
    </row>
    <row r="299" spans="1:1" x14ac:dyDescent="0.2">
      <c r="A299">
        <v>294</v>
      </c>
    </row>
    <row r="300" spans="1:1" x14ac:dyDescent="0.2">
      <c r="A300">
        <v>295</v>
      </c>
    </row>
    <row r="301" spans="1:1" x14ac:dyDescent="0.2">
      <c r="A301">
        <v>296</v>
      </c>
    </row>
    <row r="302" spans="1:1" x14ac:dyDescent="0.2">
      <c r="A302">
        <v>297</v>
      </c>
    </row>
    <row r="303" spans="1:1" x14ac:dyDescent="0.2">
      <c r="A303">
        <v>298</v>
      </c>
    </row>
    <row r="304" spans="1:1" x14ac:dyDescent="0.2">
      <c r="A304">
        <v>299</v>
      </c>
    </row>
    <row r="305" spans="1:1" x14ac:dyDescent="0.2">
      <c r="A305">
        <v>300</v>
      </c>
    </row>
    <row r="306" spans="1:1" x14ac:dyDescent="0.2">
      <c r="A306">
        <v>301</v>
      </c>
    </row>
    <row r="307" spans="1:1" x14ac:dyDescent="0.2">
      <c r="A307">
        <v>302</v>
      </c>
    </row>
    <row r="308" spans="1:1" x14ac:dyDescent="0.2">
      <c r="A308">
        <v>303</v>
      </c>
    </row>
    <row r="309" spans="1:1" x14ac:dyDescent="0.2">
      <c r="A309">
        <v>304</v>
      </c>
    </row>
    <row r="310" spans="1:1" x14ac:dyDescent="0.2">
      <c r="A310">
        <v>305</v>
      </c>
    </row>
    <row r="311" spans="1:1" x14ac:dyDescent="0.2">
      <c r="A311">
        <v>306</v>
      </c>
    </row>
    <row r="312" spans="1:1" x14ac:dyDescent="0.2">
      <c r="A312">
        <v>307</v>
      </c>
    </row>
    <row r="313" spans="1:1" x14ac:dyDescent="0.2">
      <c r="A313">
        <v>308</v>
      </c>
    </row>
    <row r="314" spans="1:1" x14ac:dyDescent="0.2">
      <c r="A314">
        <v>309</v>
      </c>
    </row>
    <row r="315" spans="1:1" x14ac:dyDescent="0.2">
      <c r="A315">
        <v>310</v>
      </c>
    </row>
    <row r="316" spans="1:1" x14ac:dyDescent="0.2">
      <c r="A316">
        <v>311</v>
      </c>
    </row>
    <row r="317" spans="1:1" x14ac:dyDescent="0.2">
      <c r="A317">
        <v>312</v>
      </c>
    </row>
    <row r="318" spans="1:1" x14ac:dyDescent="0.2">
      <c r="A318">
        <v>313</v>
      </c>
    </row>
    <row r="319" spans="1:1" x14ac:dyDescent="0.2">
      <c r="A319">
        <v>314</v>
      </c>
    </row>
    <row r="320" spans="1:1" x14ac:dyDescent="0.2">
      <c r="A320">
        <v>315</v>
      </c>
    </row>
    <row r="321" spans="1:1" x14ac:dyDescent="0.2">
      <c r="A321">
        <v>316</v>
      </c>
    </row>
    <row r="322" spans="1:1" x14ac:dyDescent="0.2">
      <c r="A322">
        <v>317</v>
      </c>
    </row>
    <row r="323" spans="1:1" x14ac:dyDescent="0.2">
      <c r="A323">
        <v>318</v>
      </c>
    </row>
    <row r="324" spans="1:1" x14ac:dyDescent="0.2">
      <c r="A324">
        <v>319</v>
      </c>
    </row>
    <row r="325" spans="1:1" x14ac:dyDescent="0.2">
      <c r="A325">
        <v>320</v>
      </c>
    </row>
    <row r="326" spans="1:1" x14ac:dyDescent="0.2">
      <c r="A326">
        <v>321</v>
      </c>
    </row>
    <row r="327" spans="1:1" x14ac:dyDescent="0.2">
      <c r="A327">
        <v>322</v>
      </c>
    </row>
    <row r="328" spans="1:1" x14ac:dyDescent="0.2">
      <c r="A328">
        <v>323</v>
      </c>
    </row>
    <row r="329" spans="1:1" x14ac:dyDescent="0.2">
      <c r="A329">
        <v>324</v>
      </c>
    </row>
    <row r="330" spans="1:1" x14ac:dyDescent="0.2">
      <c r="A330">
        <v>325</v>
      </c>
    </row>
    <row r="331" spans="1:1" x14ac:dyDescent="0.2">
      <c r="A331">
        <v>326</v>
      </c>
    </row>
    <row r="332" spans="1:1" x14ac:dyDescent="0.2">
      <c r="A332">
        <v>327</v>
      </c>
    </row>
    <row r="333" spans="1:1" x14ac:dyDescent="0.2">
      <c r="A333">
        <v>328</v>
      </c>
    </row>
    <row r="334" spans="1:1" x14ac:dyDescent="0.2">
      <c r="A334">
        <v>329</v>
      </c>
    </row>
    <row r="335" spans="1:1" x14ac:dyDescent="0.2">
      <c r="A335">
        <v>330</v>
      </c>
    </row>
    <row r="336" spans="1:1" x14ac:dyDescent="0.2">
      <c r="A336">
        <v>331</v>
      </c>
    </row>
    <row r="337" spans="1:1" x14ac:dyDescent="0.2">
      <c r="A337">
        <v>332</v>
      </c>
    </row>
    <row r="338" spans="1:1" x14ac:dyDescent="0.2">
      <c r="A338">
        <v>333</v>
      </c>
    </row>
    <row r="339" spans="1:1" x14ac:dyDescent="0.2">
      <c r="A339">
        <v>334</v>
      </c>
    </row>
    <row r="340" spans="1:1" x14ac:dyDescent="0.2">
      <c r="A340">
        <v>335</v>
      </c>
    </row>
    <row r="341" spans="1:1" x14ac:dyDescent="0.2">
      <c r="A341">
        <v>336</v>
      </c>
    </row>
    <row r="342" spans="1:1" x14ac:dyDescent="0.2">
      <c r="A342">
        <v>337</v>
      </c>
    </row>
    <row r="343" spans="1:1" x14ac:dyDescent="0.2">
      <c r="A343">
        <v>338</v>
      </c>
    </row>
    <row r="344" spans="1:1" x14ac:dyDescent="0.2">
      <c r="A344">
        <v>339</v>
      </c>
    </row>
    <row r="345" spans="1:1" x14ac:dyDescent="0.2">
      <c r="A345">
        <v>340</v>
      </c>
    </row>
    <row r="346" spans="1:1" x14ac:dyDescent="0.2">
      <c r="A346">
        <v>341</v>
      </c>
    </row>
    <row r="347" spans="1:1" x14ac:dyDescent="0.2">
      <c r="A347">
        <v>342</v>
      </c>
    </row>
    <row r="348" spans="1:1" x14ac:dyDescent="0.2">
      <c r="A348">
        <v>343</v>
      </c>
    </row>
    <row r="349" spans="1:1" x14ac:dyDescent="0.2">
      <c r="A349">
        <v>344</v>
      </c>
    </row>
    <row r="350" spans="1:1" x14ac:dyDescent="0.2">
      <c r="A350">
        <v>345</v>
      </c>
    </row>
    <row r="351" spans="1:1" x14ac:dyDescent="0.2">
      <c r="A351">
        <v>346</v>
      </c>
    </row>
    <row r="352" spans="1:1" x14ac:dyDescent="0.2">
      <c r="A352">
        <v>347</v>
      </c>
    </row>
    <row r="353" spans="1:1" x14ac:dyDescent="0.2">
      <c r="A353">
        <v>348</v>
      </c>
    </row>
    <row r="354" spans="1:1" x14ac:dyDescent="0.2">
      <c r="A354">
        <v>349</v>
      </c>
    </row>
    <row r="355" spans="1:1" x14ac:dyDescent="0.2">
      <c r="A355">
        <v>350</v>
      </c>
    </row>
    <row r="356" spans="1:1" x14ac:dyDescent="0.2">
      <c r="A356">
        <v>351</v>
      </c>
    </row>
    <row r="357" spans="1:1" x14ac:dyDescent="0.2">
      <c r="A357">
        <v>352</v>
      </c>
    </row>
    <row r="358" spans="1:1" x14ac:dyDescent="0.2">
      <c r="A358">
        <v>353</v>
      </c>
    </row>
    <row r="359" spans="1:1" x14ac:dyDescent="0.2">
      <c r="A359">
        <v>354</v>
      </c>
    </row>
    <row r="360" spans="1:1" x14ac:dyDescent="0.2">
      <c r="A360">
        <v>355</v>
      </c>
    </row>
    <row r="361" spans="1:1" x14ac:dyDescent="0.2">
      <c r="A361">
        <v>356</v>
      </c>
    </row>
    <row r="362" spans="1:1" x14ac:dyDescent="0.2">
      <c r="A362">
        <v>357</v>
      </c>
    </row>
    <row r="363" spans="1:1" x14ac:dyDescent="0.2">
      <c r="A363">
        <v>358</v>
      </c>
    </row>
    <row r="364" spans="1:1" x14ac:dyDescent="0.2">
      <c r="A364">
        <v>359</v>
      </c>
    </row>
    <row r="365" spans="1:1" x14ac:dyDescent="0.2">
      <c r="A365">
        <v>360</v>
      </c>
    </row>
    <row r="366" spans="1:1" x14ac:dyDescent="0.2">
      <c r="A366">
        <v>361</v>
      </c>
    </row>
    <row r="367" spans="1:1" x14ac:dyDescent="0.2">
      <c r="A367">
        <v>362</v>
      </c>
    </row>
    <row r="368" spans="1:1" x14ac:dyDescent="0.2">
      <c r="A368">
        <v>363</v>
      </c>
    </row>
    <row r="369" spans="1:1" x14ac:dyDescent="0.2">
      <c r="A369">
        <v>364</v>
      </c>
    </row>
    <row r="370" spans="1:1" x14ac:dyDescent="0.2">
      <c r="A370">
        <v>365</v>
      </c>
    </row>
    <row r="371" spans="1:1" x14ac:dyDescent="0.2">
      <c r="A371">
        <v>366</v>
      </c>
    </row>
    <row r="372" spans="1:1" x14ac:dyDescent="0.2">
      <c r="A372">
        <v>367</v>
      </c>
    </row>
    <row r="373" spans="1:1" x14ac:dyDescent="0.2">
      <c r="A373">
        <v>368</v>
      </c>
    </row>
    <row r="374" spans="1:1" x14ac:dyDescent="0.2">
      <c r="A374">
        <v>369</v>
      </c>
    </row>
    <row r="375" spans="1:1" x14ac:dyDescent="0.2">
      <c r="A375">
        <v>370</v>
      </c>
    </row>
    <row r="376" spans="1:1" x14ac:dyDescent="0.2">
      <c r="A376">
        <v>371</v>
      </c>
    </row>
    <row r="377" spans="1:1" x14ac:dyDescent="0.2">
      <c r="A377">
        <v>372</v>
      </c>
    </row>
    <row r="378" spans="1:1" x14ac:dyDescent="0.2">
      <c r="A378">
        <v>373</v>
      </c>
    </row>
    <row r="379" spans="1:1" x14ac:dyDescent="0.2">
      <c r="A379">
        <v>374</v>
      </c>
    </row>
    <row r="380" spans="1:1" x14ac:dyDescent="0.2">
      <c r="A380">
        <v>375</v>
      </c>
    </row>
    <row r="381" spans="1:1" x14ac:dyDescent="0.2">
      <c r="A381">
        <v>376</v>
      </c>
    </row>
    <row r="382" spans="1:1" x14ac:dyDescent="0.2">
      <c r="A382">
        <v>377</v>
      </c>
    </row>
    <row r="383" spans="1:1" x14ac:dyDescent="0.2">
      <c r="A383">
        <v>378</v>
      </c>
    </row>
    <row r="384" spans="1:1" x14ac:dyDescent="0.2">
      <c r="A384">
        <v>379</v>
      </c>
    </row>
    <row r="385" spans="1:1" x14ac:dyDescent="0.2">
      <c r="A385">
        <v>380</v>
      </c>
    </row>
    <row r="386" spans="1:1" x14ac:dyDescent="0.2">
      <c r="A386">
        <v>381</v>
      </c>
    </row>
    <row r="387" spans="1:1" x14ac:dyDescent="0.2">
      <c r="A387">
        <v>382</v>
      </c>
    </row>
    <row r="388" spans="1:1" x14ac:dyDescent="0.2">
      <c r="A388">
        <v>383</v>
      </c>
    </row>
    <row r="389" spans="1:1" x14ac:dyDescent="0.2">
      <c r="A389">
        <v>384</v>
      </c>
    </row>
    <row r="390" spans="1:1" x14ac:dyDescent="0.2">
      <c r="A390">
        <v>385</v>
      </c>
    </row>
    <row r="391" spans="1:1" x14ac:dyDescent="0.2">
      <c r="A391">
        <v>386</v>
      </c>
    </row>
    <row r="392" spans="1:1" x14ac:dyDescent="0.2">
      <c r="A392">
        <v>387</v>
      </c>
    </row>
    <row r="393" spans="1:1" x14ac:dyDescent="0.2">
      <c r="A393">
        <v>388</v>
      </c>
    </row>
    <row r="394" spans="1:1" x14ac:dyDescent="0.2">
      <c r="A394">
        <v>389</v>
      </c>
    </row>
    <row r="395" spans="1:1" x14ac:dyDescent="0.2">
      <c r="A395">
        <v>390</v>
      </c>
    </row>
    <row r="396" spans="1:1" x14ac:dyDescent="0.2">
      <c r="A396">
        <v>391</v>
      </c>
    </row>
    <row r="397" spans="1:1" x14ac:dyDescent="0.2">
      <c r="A397">
        <v>392</v>
      </c>
    </row>
    <row r="398" spans="1:1" x14ac:dyDescent="0.2">
      <c r="A398">
        <v>393</v>
      </c>
    </row>
    <row r="399" spans="1:1" x14ac:dyDescent="0.2">
      <c r="A399">
        <v>394</v>
      </c>
    </row>
    <row r="400" spans="1:1" x14ac:dyDescent="0.2">
      <c r="A400">
        <v>395</v>
      </c>
    </row>
    <row r="401" spans="1:1" x14ac:dyDescent="0.2">
      <c r="A401">
        <v>396</v>
      </c>
    </row>
    <row r="402" spans="1:1" x14ac:dyDescent="0.2">
      <c r="A402">
        <v>397</v>
      </c>
    </row>
    <row r="403" spans="1:1" x14ac:dyDescent="0.2">
      <c r="A403">
        <v>398</v>
      </c>
    </row>
    <row r="404" spans="1:1" x14ac:dyDescent="0.2">
      <c r="A404">
        <v>399</v>
      </c>
    </row>
    <row r="405" spans="1:1" x14ac:dyDescent="0.2">
      <c r="A405">
        <v>400</v>
      </c>
    </row>
    <row r="406" spans="1:1" x14ac:dyDescent="0.2">
      <c r="A406">
        <v>401</v>
      </c>
    </row>
    <row r="407" spans="1:1" x14ac:dyDescent="0.2">
      <c r="A407">
        <v>402</v>
      </c>
    </row>
    <row r="408" spans="1:1" x14ac:dyDescent="0.2">
      <c r="A408">
        <v>403</v>
      </c>
    </row>
    <row r="409" spans="1:1" x14ac:dyDescent="0.2">
      <c r="A409">
        <v>404</v>
      </c>
    </row>
    <row r="410" spans="1:1" x14ac:dyDescent="0.2">
      <c r="A410">
        <v>405</v>
      </c>
    </row>
    <row r="411" spans="1:1" x14ac:dyDescent="0.2">
      <c r="A411">
        <v>406</v>
      </c>
    </row>
    <row r="412" spans="1:1" x14ac:dyDescent="0.2">
      <c r="A412">
        <v>407</v>
      </c>
    </row>
    <row r="413" spans="1:1" x14ac:dyDescent="0.2">
      <c r="A413">
        <v>408</v>
      </c>
    </row>
    <row r="414" spans="1:1" x14ac:dyDescent="0.2">
      <c r="A414">
        <v>409</v>
      </c>
    </row>
    <row r="415" spans="1:1" x14ac:dyDescent="0.2">
      <c r="A415">
        <v>410</v>
      </c>
    </row>
    <row r="416" spans="1:1" x14ac:dyDescent="0.2">
      <c r="A416">
        <v>411</v>
      </c>
    </row>
    <row r="417" spans="1:1" x14ac:dyDescent="0.2">
      <c r="A417">
        <v>412</v>
      </c>
    </row>
    <row r="418" spans="1:1" x14ac:dyDescent="0.2">
      <c r="A418">
        <v>413</v>
      </c>
    </row>
    <row r="419" spans="1:1" x14ac:dyDescent="0.2">
      <c r="A419">
        <v>414</v>
      </c>
    </row>
    <row r="420" spans="1:1" x14ac:dyDescent="0.2">
      <c r="A420">
        <v>415</v>
      </c>
    </row>
    <row r="421" spans="1:1" x14ac:dyDescent="0.2">
      <c r="A421">
        <v>416</v>
      </c>
    </row>
    <row r="422" spans="1:1" x14ac:dyDescent="0.2">
      <c r="A422">
        <v>417</v>
      </c>
    </row>
    <row r="423" spans="1:1" x14ac:dyDescent="0.2">
      <c r="A423">
        <v>418</v>
      </c>
    </row>
    <row r="424" spans="1:1" x14ac:dyDescent="0.2">
      <c r="A424">
        <v>419</v>
      </c>
    </row>
    <row r="425" spans="1:1" x14ac:dyDescent="0.2">
      <c r="A425">
        <v>420</v>
      </c>
    </row>
    <row r="426" spans="1:1" x14ac:dyDescent="0.2">
      <c r="A426">
        <v>421</v>
      </c>
    </row>
    <row r="427" spans="1:1" x14ac:dyDescent="0.2">
      <c r="A427">
        <v>422</v>
      </c>
    </row>
    <row r="428" spans="1:1" x14ac:dyDescent="0.2">
      <c r="A428">
        <v>423</v>
      </c>
    </row>
    <row r="429" spans="1:1" x14ac:dyDescent="0.2">
      <c r="A429">
        <v>424</v>
      </c>
    </row>
    <row r="430" spans="1:1" x14ac:dyDescent="0.2">
      <c r="A430">
        <v>425</v>
      </c>
    </row>
    <row r="431" spans="1:1" x14ac:dyDescent="0.2">
      <c r="A431">
        <v>426</v>
      </c>
    </row>
    <row r="432" spans="1:1" x14ac:dyDescent="0.2">
      <c r="A432">
        <v>427</v>
      </c>
    </row>
    <row r="433" spans="1:1" x14ac:dyDescent="0.2">
      <c r="A433">
        <v>428</v>
      </c>
    </row>
    <row r="434" spans="1:1" x14ac:dyDescent="0.2">
      <c r="A434">
        <v>429</v>
      </c>
    </row>
    <row r="435" spans="1:1" x14ac:dyDescent="0.2">
      <c r="A435">
        <v>430</v>
      </c>
    </row>
    <row r="436" spans="1:1" x14ac:dyDescent="0.2">
      <c r="A436">
        <v>431</v>
      </c>
    </row>
    <row r="437" spans="1:1" x14ac:dyDescent="0.2">
      <c r="A437">
        <v>432</v>
      </c>
    </row>
    <row r="438" spans="1:1" x14ac:dyDescent="0.2">
      <c r="A438">
        <v>433</v>
      </c>
    </row>
    <row r="439" spans="1:1" x14ac:dyDescent="0.2">
      <c r="A439">
        <v>434</v>
      </c>
    </row>
    <row r="440" spans="1:1" x14ac:dyDescent="0.2">
      <c r="A440">
        <v>435</v>
      </c>
    </row>
    <row r="441" spans="1:1" x14ac:dyDescent="0.2">
      <c r="A441">
        <v>436</v>
      </c>
    </row>
    <row r="442" spans="1:1" x14ac:dyDescent="0.2">
      <c r="A442">
        <v>437</v>
      </c>
    </row>
    <row r="443" spans="1:1" x14ac:dyDescent="0.2">
      <c r="A443">
        <v>438</v>
      </c>
    </row>
    <row r="444" spans="1:1" x14ac:dyDescent="0.2">
      <c r="A444">
        <v>439</v>
      </c>
    </row>
    <row r="445" spans="1:1" x14ac:dyDescent="0.2">
      <c r="A445">
        <v>440</v>
      </c>
    </row>
    <row r="446" spans="1:1" x14ac:dyDescent="0.2">
      <c r="A446">
        <v>441</v>
      </c>
    </row>
    <row r="447" spans="1:1" x14ac:dyDescent="0.2">
      <c r="A447">
        <v>442</v>
      </c>
    </row>
    <row r="448" spans="1:1" x14ac:dyDescent="0.2">
      <c r="A448">
        <v>443</v>
      </c>
    </row>
    <row r="449" spans="1:1" x14ac:dyDescent="0.2">
      <c r="A449">
        <v>444</v>
      </c>
    </row>
    <row r="450" spans="1:1" x14ac:dyDescent="0.2">
      <c r="A450">
        <v>445</v>
      </c>
    </row>
    <row r="451" spans="1:1" x14ac:dyDescent="0.2">
      <c r="A451">
        <v>446</v>
      </c>
    </row>
    <row r="452" spans="1:1" x14ac:dyDescent="0.2">
      <c r="A452">
        <v>447</v>
      </c>
    </row>
    <row r="453" spans="1:1" x14ac:dyDescent="0.2">
      <c r="A453">
        <v>448</v>
      </c>
    </row>
    <row r="454" spans="1:1" x14ac:dyDescent="0.2">
      <c r="A454">
        <v>449</v>
      </c>
    </row>
    <row r="455" spans="1:1" x14ac:dyDescent="0.2">
      <c r="A455">
        <v>450</v>
      </c>
    </row>
    <row r="456" spans="1:1" x14ac:dyDescent="0.2">
      <c r="A456">
        <v>451</v>
      </c>
    </row>
    <row r="457" spans="1:1" x14ac:dyDescent="0.2">
      <c r="A457">
        <v>452</v>
      </c>
    </row>
    <row r="458" spans="1:1" x14ac:dyDescent="0.2">
      <c r="A458">
        <v>453</v>
      </c>
    </row>
    <row r="459" spans="1:1" x14ac:dyDescent="0.2">
      <c r="A459">
        <v>454</v>
      </c>
    </row>
    <row r="460" spans="1:1" x14ac:dyDescent="0.2">
      <c r="A460">
        <v>455</v>
      </c>
    </row>
    <row r="461" spans="1:1" x14ac:dyDescent="0.2">
      <c r="A461">
        <v>456</v>
      </c>
    </row>
    <row r="462" spans="1:1" x14ac:dyDescent="0.2">
      <c r="A462">
        <v>457</v>
      </c>
    </row>
    <row r="463" spans="1:1" x14ac:dyDescent="0.2">
      <c r="A463">
        <v>458</v>
      </c>
    </row>
    <row r="464" spans="1:1" x14ac:dyDescent="0.2">
      <c r="A464">
        <v>459</v>
      </c>
    </row>
    <row r="465" spans="1:1" x14ac:dyDescent="0.2">
      <c r="A465">
        <v>460</v>
      </c>
    </row>
    <row r="466" spans="1:1" x14ac:dyDescent="0.2">
      <c r="A466">
        <v>461</v>
      </c>
    </row>
    <row r="467" spans="1:1" x14ac:dyDescent="0.2">
      <c r="A467">
        <v>462</v>
      </c>
    </row>
    <row r="468" spans="1:1" x14ac:dyDescent="0.2">
      <c r="A468">
        <v>463</v>
      </c>
    </row>
    <row r="469" spans="1:1" x14ac:dyDescent="0.2">
      <c r="A469">
        <v>464</v>
      </c>
    </row>
    <row r="470" spans="1:1" x14ac:dyDescent="0.2">
      <c r="A470">
        <v>465</v>
      </c>
    </row>
    <row r="471" spans="1:1" x14ac:dyDescent="0.2">
      <c r="A471">
        <v>466</v>
      </c>
    </row>
    <row r="472" spans="1:1" x14ac:dyDescent="0.2">
      <c r="A472">
        <v>467</v>
      </c>
    </row>
    <row r="473" spans="1:1" x14ac:dyDescent="0.2">
      <c r="A473">
        <v>468</v>
      </c>
    </row>
    <row r="474" spans="1:1" x14ac:dyDescent="0.2">
      <c r="A474">
        <v>469</v>
      </c>
    </row>
    <row r="475" spans="1:1" x14ac:dyDescent="0.2">
      <c r="A475">
        <v>470</v>
      </c>
    </row>
    <row r="476" spans="1:1" x14ac:dyDescent="0.2">
      <c r="A476">
        <v>471</v>
      </c>
    </row>
    <row r="477" spans="1:1" x14ac:dyDescent="0.2">
      <c r="A477">
        <v>472</v>
      </c>
    </row>
    <row r="478" spans="1:1" x14ac:dyDescent="0.2">
      <c r="A478">
        <v>473</v>
      </c>
    </row>
    <row r="479" spans="1:1" x14ac:dyDescent="0.2">
      <c r="A479">
        <v>474</v>
      </c>
    </row>
    <row r="480" spans="1:1" x14ac:dyDescent="0.2">
      <c r="A480">
        <v>475</v>
      </c>
    </row>
    <row r="481" spans="1:1" x14ac:dyDescent="0.2">
      <c r="A481">
        <v>476</v>
      </c>
    </row>
    <row r="482" spans="1:1" x14ac:dyDescent="0.2">
      <c r="A482">
        <v>477</v>
      </c>
    </row>
    <row r="483" spans="1:1" x14ac:dyDescent="0.2">
      <c r="A483">
        <v>478</v>
      </c>
    </row>
    <row r="484" spans="1:1" x14ac:dyDescent="0.2">
      <c r="A484">
        <v>479</v>
      </c>
    </row>
    <row r="485" spans="1:1" x14ac:dyDescent="0.2">
      <c r="A485">
        <v>480</v>
      </c>
    </row>
    <row r="486" spans="1:1" x14ac:dyDescent="0.2">
      <c r="A486">
        <v>481</v>
      </c>
    </row>
    <row r="487" spans="1:1" x14ac:dyDescent="0.2">
      <c r="A487">
        <v>482</v>
      </c>
    </row>
    <row r="488" spans="1:1" x14ac:dyDescent="0.2">
      <c r="A488">
        <v>483</v>
      </c>
    </row>
    <row r="489" spans="1:1" x14ac:dyDescent="0.2">
      <c r="A489">
        <v>484</v>
      </c>
    </row>
    <row r="490" spans="1:1" x14ac:dyDescent="0.2">
      <c r="A490">
        <v>485</v>
      </c>
    </row>
    <row r="491" spans="1:1" x14ac:dyDescent="0.2">
      <c r="A491">
        <v>486</v>
      </c>
    </row>
    <row r="492" spans="1:1" x14ac:dyDescent="0.2">
      <c r="A492">
        <v>487</v>
      </c>
    </row>
    <row r="493" spans="1:1" x14ac:dyDescent="0.2">
      <c r="A493">
        <v>488</v>
      </c>
    </row>
    <row r="494" spans="1:1" x14ac:dyDescent="0.2">
      <c r="A494">
        <v>489</v>
      </c>
    </row>
    <row r="495" spans="1:1" x14ac:dyDescent="0.2">
      <c r="A495">
        <v>490</v>
      </c>
    </row>
    <row r="496" spans="1:1" x14ac:dyDescent="0.2">
      <c r="A496">
        <v>491</v>
      </c>
    </row>
    <row r="497" spans="1:1" x14ac:dyDescent="0.2">
      <c r="A497">
        <v>492</v>
      </c>
    </row>
    <row r="498" spans="1:1" x14ac:dyDescent="0.2">
      <c r="A498">
        <v>493</v>
      </c>
    </row>
    <row r="499" spans="1:1" x14ac:dyDescent="0.2">
      <c r="A499">
        <v>494</v>
      </c>
    </row>
    <row r="500" spans="1:1" x14ac:dyDescent="0.2">
      <c r="A500">
        <v>495</v>
      </c>
    </row>
    <row r="501" spans="1:1" x14ac:dyDescent="0.2">
      <c r="A501">
        <v>496</v>
      </c>
    </row>
    <row r="502" spans="1:1" x14ac:dyDescent="0.2">
      <c r="A502">
        <v>497</v>
      </c>
    </row>
    <row r="503" spans="1:1" x14ac:dyDescent="0.2">
      <c r="A503">
        <v>498</v>
      </c>
    </row>
    <row r="504" spans="1:1" x14ac:dyDescent="0.2">
      <c r="A504">
        <v>499</v>
      </c>
    </row>
    <row r="505" spans="1:1" x14ac:dyDescent="0.2">
      <c r="A505">
        <v>500</v>
      </c>
    </row>
    <row r="506" spans="1:1" x14ac:dyDescent="0.2">
      <c r="A506">
        <v>501</v>
      </c>
    </row>
    <row r="507" spans="1:1" x14ac:dyDescent="0.2">
      <c r="A507">
        <v>502</v>
      </c>
    </row>
    <row r="508" spans="1:1" x14ac:dyDescent="0.2">
      <c r="A508">
        <v>503</v>
      </c>
    </row>
    <row r="509" spans="1:1" x14ac:dyDescent="0.2">
      <c r="A509">
        <v>504</v>
      </c>
    </row>
    <row r="510" spans="1:1" x14ac:dyDescent="0.2">
      <c r="A510">
        <v>505</v>
      </c>
    </row>
    <row r="511" spans="1:1" x14ac:dyDescent="0.2">
      <c r="A511">
        <v>506</v>
      </c>
    </row>
    <row r="512" spans="1:1" x14ac:dyDescent="0.2">
      <c r="A512">
        <v>507</v>
      </c>
    </row>
    <row r="513" spans="1:1" x14ac:dyDescent="0.2">
      <c r="A513">
        <v>508</v>
      </c>
    </row>
    <row r="514" spans="1:1" x14ac:dyDescent="0.2">
      <c r="A514">
        <v>509</v>
      </c>
    </row>
    <row r="515" spans="1:1" x14ac:dyDescent="0.2">
      <c r="A515">
        <v>510</v>
      </c>
    </row>
    <row r="516" spans="1:1" x14ac:dyDescent="0.2">
      <c r="A516">
        <v>511</v>
      </c>
    </row>
    <row r="517" spans="1:1" x14ac:dyDescent="0.2">
      <c r="A517">
        <v>512</v>
      </c>
    </row>
    <row r="518" spans="1:1" x14ac:dyDescent="0.2">
      <c r="A518">
        <v>513</v>
      </c>
    </row>
    <row r="519" spans="1:1" x14ac:dyDescent="0.2">
      <c r="A519">
        <v>514</v>
      </c>
    </row>
    <row r="520" spans="1:1" x14ac:dyDescent="0.2">
      <c r="A520">
        <v>515</v>
      </c>
    </row>
    <row r="521" spans="1:1" x14ac:dyDescent="0.2">
      <c r="A521">
        <v>516</v>
      </c>
    </row>
    <row r="522" spans="1:1" x14ac:dyDescent="0.2">
      <c r="A522">
        <v>517</v>
      </c>
    </row>
    <row r="523" spans="1:1" x14ac:dyDescent="0.2">
      <c r="A523">
        <v>518</v>
      </c>
    </row>
    <row r="524" spans="1:1" x14ac:dyDescent="0.2">
      <c r="A524">
        <v>519</v>
      </c>
    </row>
    <row r="525" spans="1:1" x14ac:dyDescent="0.2">
      <c r="A525">
        <v>520</v>
      </c>
    </row>
    <row r="526" spans="1:1" x14ac:dyDescent="0.2">
      <c r="A526">
        <v>521</v>
      </c>
    </row>
    <row r="527" spans="1:1" x14ac:dyDescent="0.2">
      <c r="A527">
        <v>522</v>
      </c>
    </row>
    <row r="528" spans="1:1" x14ac:dyDescent="0.2">
      <c r="A528">
        <v>523</v>
      </c>
    </row>
    <row r="529" spans="1:1" x14ac:dyDescent="0.2">
      <c r="A529">
        <v>524</v>
      </c>
    </row>
    <row r="530" spans="1:1" x14ac:dyDescent="0.2">
      <c r="A530">
        <v>525</v>
      </c>
    </row>
    <row r="531" spans="1:1" x14ac:dyDescent="0.2">
      <c r="A531">
        <v>526</v>
      </c>
    </row>
    <row r="532" spans="1:1" x14ac:dyDescent="0.2">
      <c r="A532">
        <v>527</v>
      </c>
    </row>
    <row r="533" spans="1:1" x14ac:dyDescent="0.2">
      <c r="A533">
        <v>528</v>
      </c>
    </row>
    <row r="534" spans="1:1" x14ac:dyDescent="0.2">
      <c r="A534">
        <v>529</v>
      </c>
    </row>
    <row r="535" spans="1:1" x14ac:dyDescent="0.2">
      <c r="A535">
        <v>530</v>
      </c>
    </row>
    <row r="536" spans="1:1" x14ac:dyDescent="0.2">
      <c r="A536">
        <v>531</v>
      </c>
    </row>
    <row r="537" spans="1:1" x14ac:dyDescent="0.2">
      <c r="A537">
        <v>532</v>
      </c>
    </row>
    <row r="538" spans="1:1" x14ac:dyDescent="0.2">
      <c r="A538">
        <v>533</v>
      </c>
    </row>
    <row r="539" spans="1:1" x14ac:dyDescent="0.2">
      <c r="A539">
        <v>534</v>
      </c>
    </row>
    <row r="540" spans="1:1" x14ac:dyDescent="0.2">
      <c r="A540">
        <v>535</v>
      </c>
    </row>
    <row r="541" spans="1:1" x14ac:dyDescent="0.2">
      <c r="A541">
        <v>536</v>
      </c>
    </row>
    <row r="542" spans="1:1" x14ac:dyDescent="0.2">
      <c r="A542">
        <v>537</v>
      </c>
    </row>
    <row r="543" spans="1:1" x14ac:dyDescent="0.2">
      <c r="A543">
        <v>538</v>
      </c>
    </row>
    <row r="544" spans="1:1" x14ac:dyDescent="0.2">
      <c r="A544">
        <v>539</v>
      </c>
    </row>
    <row r="545" spans="1:1" x14ac:dyDescent="0.2">
      <c r="A545">
        <v>540</v>
      </c>
    </row>
    <row r="546" spans="1:1" x14ac:dyDescent="0.2">
      <c r="A546">
        <v>541</v>
      </c>
    </row>
    <row r="547" spans="1:1" x14ac:dyDescent="0.2">
      <c r="A547">
        <v>542</v>
      </c>
    </row>
    <row r="548" spans="1:1" x14ac:dyDescent="0.2">
      <c r="A548">
        <v>543</v>
      </c>
    </row>
    <row r="549" spans="1:1" x14ac:dyDescent="0.2">
      <c r="A549">
        <v>544</v>
      </c>
    </row>
    <row r="550" spans="1:1" x14ac:dyDescent="0.2">
      <c r="A550">
        <v>545</v>
      </c>
    </row>
    <row r="551" spans="1:1" x14ac:dyDescent="0.2">
      <c r="A551">
        <v>546</v>
      </c>
    </row>
    <row r="552" spans="1:1" x14ac:dyDescent="0.2">
      <c r="A552">
        <v>547</v>
      </c>
    </row>
    <row r="553" spans="1:1" x14ac:dyDescent="0.2">
      <c r="A553">
        <v>548</v>
      </c>
    </row>
    <row r="554" spans="1:1" x14ac:dyDescent="0.2">
      <c r="A554">
        <v>549</v>
      </c>
    </row>
    <row r="555" spans="1:1" x14ac:dyDescent="0.2">
      <c r="A555">
        <v>550</v>
      </c>
    </row>
    <row r="556" spans="1:1" x14ac:dyDescent="0.2">
      <c r="A556">
        <v>551</v>
      </c>
    </row>
    <row r="557" spans="1:1" x14ac:dyDescent="0.2">
      <c r="A557">
        <v>552</v>
      </c>
    </row>
    <row r="558" spans="1:1" x14ac:dyDescent="0.2">
      <c r="A558">
        <v>553</v>
      </c>
    </row>
    <row r="559" spans="1:1" x14ac:dyDescent="0.2">
      <c r="A559">
        <v>554</v>
      </c>
    </row>
    <row r="560" spans="1:1" x14ac:dyDescent="0.2">
      <c r="A560">
        <v>555</v>
      </c>
    </row>
    <row r="561" spans="1:1" x14ac:dyDescent="0.2">
      <c r="A561">
        <v>556</v>
      </c>
    </row>
    <row r="562" spans="1:1" x14ac:dyDescent="0.2">
      <c r="A562">
        <v>557</v>
      </c>
    </row>
    <row r="563" spans="1:1" x14ac:dyDescent="0.2">
      <c r="A563">
        <v>558</v>
      </c>
    </row>
    <row r="564" spans="1:1" x14ac:dyDescent="0.2">
      <c r="A564">
        <v>559</v>
      </c>
    </row>
    <row r="565" spans="1:1" x14ac:dyDescent="0.2">
      <c r="A565">
        <v>560</v>
      </c>
    </row>
    <row r="566" spans="1:1" x14ac:dyDescent="0.2">
      <c r="A566">
        <v>561</v>
      </c>
    </row>
    <row r="567" spans="1:1" x14ac:dyDescent="0.2">
      <c r="A567">
        <v>562</v>
      </c>
    </row>
    <row r="568" spans="1:1" x14ac:dyDescent="0.2">
      <c r="A568">
        <v>563</v>
      </c>
    </row>
    <row r="569" spans="1:1" x14ac:dyDescent="0.2">
      <c r="A569">
        <v>564</v>
      </c>
    </row>
    <row r="570" spans="1:1" x14ac:dyDescent="0.2">
      <c r="A570">
        <v>565</v>
      </c>
    </row>
    <row r="571" spans="1:1" x14ac:dyDescent="0.2">
      <c r="A571">
        <v>566</v>
      </c>
    </row>
    <row r="572" spans="1:1" x14ac:dyDescent="0.2">
      <c r="A572">
        <v>567</v>
      </c>
    </row>
    <row r="573" spans="1:1" x14ac:dyDescent="0.2">
      <c r="A573">
        <v>568</v>
      </c>
    </row>
    <row r="574" spans="1:1" x14ac:dyDescent="0.2">
      <c r="A574">
        <v>569</v>
      </c>
    </row>
    <row r="575" spans="1:1" x14ac:dyDescent="0.2">
      <c r="A575">
        <v>570</v>
      </c>
    </row>
    <row r="576" spans="1:1" x14ac:dyDescent="0.2">
      <c r="A576">
        <v>571</v>
      </c>
    </row>
    <row r="577" spans="1:1" x14ac:dyDescent="0.2">
      <c r="A577">
        <v>572</v>
      </c>
    </row>
    <row r="578" spans="1:1" x14ac:dyDescent="0.2">
      <c r="A578">
        <v>573</v>
      </c>
    </row>
    <row r="579" spans="1:1" x14ac:dyDescent="0.2">
      <c r="A579">
        <v>574</v>
      </c>
    </row>
    <row r="580" spans="1:1" x14ac:dyDescent="0.2">
      <c r="A580">
        <v>575</v>
      </c>
    </row>
    <row r="581" spans="1:1" x14ac:dyDescent="0.2">
      <c r="A581">
        <v>576</v>
      </c>
    </row>
    <row r="582" spans="1:1" x14ac:dyDescent="0.2">
      <c r="A582">
        <v>577</v>
      </c>
    </row>
    <row r="583" spans="1:1" x14ac:dyDescent="0.2">
      <c r="A583">
        <v>578</v>
      </c>
    </row>
    <row r="584" spans="1:1" x14ac:dyDescent="0.2">
      <c r="A584">
        <v>579</v>
      </c>
    </row>
    <row r="585" spans="1:1" x14ac:dyDescent="0.2">
      <c r="A585">
        <v>580</v>
      </c>
    </row>
    <row r="586" spans="1:1" x14ac:dyDescent="0.2">
      <c r="A586">
        <v>581</v>
      </c>
    </row>
    <row r="587" spans="1:1" x14ac:dyDescent="0.2">
      <c r="A587">
        <v>582</v>
      </c>
    </row>
    <row r="588" spans="1:1" x14ac:dyDescent="0.2">
      <c r="A588">
        <v>583</v>
      </c>
    </row>
    <row r="589" spans="1:1" x14ac:dyDescent="0.2">
      <c r="A589">
        <v>584</v>
      </c>
    </row>
    <row r="590" spans="1:1" x14ac:dyDescent="0.2">
      <c r="A590">
        <v>585</v>
      </c>
    </row>
    <row r="591" spans="1:1" x14ac:dyDescent="0.2">
      <c r="A591">
        <v>586</v>
      </c>
    </row>
    <row r="592" spans="1:1" x14ac:dyDescent="0.2">
      <c r="A592">
        <v>587</v>
      </c>
    </row>
    <row r="593" spans="1:1" x14ac:dyDescent="0.2">
      <c r="A593">
        <v>588</v>
      </c>
    </row>
    <row r="594" spans="1:1" x14ac:dyDescent="0.2">
      <c r="A594">
        <v>589</v>
      </c>
    </row>
    <row r="595" spans="1:1" x14ac:dyDescent="0.2">
      <c r="A595">
        <v>590</v>
      </c>
    </row>
    <row r="596" spans="1:1" x14ac:dyDescent="0.2">
      <c r="A596">
        <v>591</v>
      </c>
    </row>
    <row r="597" spans="1:1" x14ac:dyDescent="0.2">
      <c r="A597">
        <v>592</v>
      </c>
    </row>
    <row r="598" spans="1:1" x14ac:dyDescent="0.2">
      <c r="A598">
        <v>593</v>
      </c>
    </row>
    <row r="599" spans="1:1" x14ac:dyDescent="0.2">
      <c r="A599">
        <v>594</v>
      </c>
    </row>
    <row r="600" spans="1:1" x14ac:dyDescent="0.2">
      <c r="A600">
        <v>595</v>
      </c>
    </row>
    <row r="601" spans="1:1" x14ac:dyDescent="0.2">
      <c r="A601">
        <v>596</v>
      </c>
    </row>
    <row r="602" spans="1:1" x14ac:dyDescent="0.2">
      <c r="A602">
        <v>597</v>
      </c>
    </row>
    <row r="603" spans="1:1" x14ac:dyDescent="0.2">
      <c r="A603">
        <v>598</v>
      </c>
    </row>
    <row r="604" spans="1:1" x14ac:dyDescent="0.2">
      <c r="A604">
        <v>599</v>
      </c>
    </row>
    <row r="605" spans="1:1" x14ac:dyDescent="0.2">
      <c r="A605">
        <v>600</v>
      </c>
    </row>
    <row r="606" spans="1:1" x14ac:dyDescent="0.2">
      <c r="A606">
        <v>601</v>
      </c>
    </row>
    <row r="607" spans="1:1" x14ac:dyDescent="0.2">
      <c r="A607">
        <v>602</v>
      </c>
    </row>
    <row r="608" spans="1:1" x14ac:dyDescent="0.2">
      <c r="A608">
        <v>603</v>
      </c>
    </row>
    <row r="609" spans="1:1" x14ac:dyDescent="0.2">
      <c r="A609">
        <v>604</v>
      </c>
    </row>
    <row r="610" spans="1:1" x14ac:dyDescent="0.2">
      <c r="A610">
        <v>605</v>
      </c>
    </row>
    <row r="611" spans="1:1" x14ac:dyDescent="0.2">
      <c r="A611">
        <v>606</v>
      </c>
    </row>
    <row r="612" spans="1:1" x14ac:dyDescent="0.2">
      <c r="A612">
        <v>607</v>
      </c>
    </row>
    <row r="613" spans="1:1" x14ac:dyDescent="0.2">
      <c r="A613">
        <v>608</v>
      </c>
    </row>
    <row r="614" spans="1:1" x14ac:dyDescent="0.2">
      <c r="A614">
        <v>609</v>
      </c>
    </row>
    <row r="615" spans="1:1" x14ac:dyDescent="0.2">
      <c r="A615">
        <v>610</v>
      </c>
    </row>
    <row r="616" spans="1:1" x14ac:dyDescent="0.2">
      <c r="A616">
        <v>611</v>
      </c>
    </row>
    <row r="617" spans="1:1" x14ac:dyDescent="0.2">
      <c r="A617">
        <v>612</v>
      </c>
    </row>
    <row r="618" spans="1:1" x14ac:dyDescent="0.2">
      <c r="A618">
        <v>613</v>
      </c>
    </row>
    <row r="619" spans="1:1" x14ac:dyDescent="0.2">
      <c r="A619">
        <v>614</v>
      </c>
    </row>
    <row r="620" spans="1:1" x14ac:dyDescent="0.2">
      <c r="A620">
        <v>615</v>
      </c>
    </row>
    <row r="621" spans="1:1" x14ac:dyDescent="0.2">
      <c r="A621">
        <v>616</v>
      </c>
    </row>
    <row r="622" spans="1:1" x14ac:dyDescent="0.2">
      <c r="A622">
        <v>617</v>
      </c>
    </row>
    <row r="623" spans="1:1" x14ac:dyDescent="0.2">
      <c r="A623">
        <v>618</v>
      </c>
    </row>
    <row r="624" spans="1:1" x14ac:dyDescent="0.2">
      <c r="A624">
        <v>619</v>
      </c>
    </row>
    <row r="625" spans="1:1" x14ac:dyDescent="0.2">
      <c r="A625">
        <v>620</v>
      </c>
    </row>
    <row r="626" spans="1:1" x14ac:dyDescent="0.2">
      <c r="A626">
        <v>621</v>
      </c>
    </row>
    <row r="627" spans="1:1" x14ac:dyDescent="0.2">
      <c r="A627">
        <v>622</v>
      </c>
    </row>
    <row r="628" spans="1:1" x14ac:dyDescent="0.2">
      <c r="A628">
        <v>623</v>
      </c>
    </row>
    <row r="629" spans="1:1" x14ac:dyDescent="0.2">
      <c r="A629">
        <v>624</v>
      </c>
    </row>
    <row r="630" spans="1:1" x14ac:dyDescent="0.2">
      <c r="A630">
        <v>625</v>
      </c>
    </row>
    <row r="631" spans="1:1" x14ac:dyDescent="0.2">
      <c r="A631">
        <v>626</v>
      </c>
    </row>
    <row r="632" spans="1:1" x14ac:dyDescent="0.2">
      <c r="A632">
        <v>627</v>
      </c>
    </row>
    <row r="633" spans="1:1" x14ac:dyDescent="0.2">
      <c r="A633">
        <v>628</v>
      </c>
    </row>
    <row r="634" spans="1:1" x14ac:dyDescent="0.2">
      <c r="A634">
        <v>629</v>
      </c>
    </row>
    <row r="635" spans="1:1" x14ac:dyDescent="0.2">
      <c r="A635">
        <v>630</v>
      </c>
    </row>
    <row r="636" spans="1:1" x14ac:dyDescent="0.2">
      <c r="A636">
        <v>631</v>
      </c>
    </row>
    <row r="637" spans="1:1" x14ac:dyDescent="0.2">
      <c r="A637">
        <v>632</v>
      </c>
    </row>
    <row r="638" spans="1:1" x14ac:dyDescent="0.2">
      <c r="A638">
        <v>633</v>
      </c>
    </row>
    <row r="639" spans="1:1" x14ac:dyDescent="0.2">
      <c r="A639">
        <v>634</v>
      </c>
    </row>
    <row r="640" spans="1:1" x14ac:dyDescent="0.2">
      <c r="A640">
        <v>635</v>
      </c>
    </row>
    <row r="641" spans="1:1" x14ac:dyDescent="0.2">
      <c r="A641">
        <v>636</v>
      </c>
    </row>
    <row r="642" spans="1:1" x14ac:dyDescent="0.2">
      <c r="A642">
        <v>637</v>
      </c>
    </row>
    <row r="643" spans="1:1" x14ac:dyDescent="0.2">
      <c r="A643">
        <v>638</v>
      </c>
    </row>
    <row r="644" spans="1:1" x14ac:dyDescent="0.2">
      <c r="A644">
        <v>639</v>
      </c>
    </row>
    <row r="645" spans="1:1" x14ac:dyDescent="0.2">
      <c r="A645">
        <v>640</v>
      </c>
    </row>
    <row r="646" spans="1:1" x14ac:dyDescent="0.2">
      <c r="A646">
        <v>641</v>
      </c>
    </row>
    <row r="647" spans="1:1" x14ac:dyDescent="0.2">
      <c r="A647">
        <v>642</v>
      </c>
    </row>
    <row r="648" spans="1:1" x14ac:dyDescent="0.2">
      <c r="A648">
        <v>643</v>
      </c>
    </row>
    <row r="649" spans="1:1" x14ac:dyDescent="0.2">
      <c r="A649">
        <v>644</v>
      </c>
    </row>
    <row r="650" spans="1:1" x14ac:dyDescent="0.2">
      <c r="A650">
        <v>645</v>
      </c>
    </row>
    <row r="651" spans="1:1" x14ac:dyDescent="0.2">
      <c r="A651">
        <v>646</v>
      </c>
    </row>
    <row r="652" spans="1:1" x14ac:dyDescent="0.2">
      <c r="A652">
        <v>647</v>
      </c>
    </row>
    <row r="653" spans="1:1" x14ac:dyDescent="0.2">
      <c r="A653">
        <v>648</v>
      </c>
    </row>
    <row r="654" spans="1:1" x14ac:dyDescent="0.2">
      <c r="A654">
        <v>649</v>
      </c>
    </row>
    <row r="655" spans="1:1" x14ac:dyDescent="0.2">
      <c r="A655">
        <v>650</v>
      </c>
    </row>
    <row r="656" spans="1:1" x14ac:dyDescent="0.2">
      <c r="A656">
        <v>651</v>
      </c>
    </row>
    <row r="657" spans="1:1" x14ac:dyDescent="0.2">
      <c r="A657">
        <v>652</v>
      </c>
    </row>
    <row r="658" spans="1:1" x14ac:dyDescent="0.2">
      <c r="A658">
        <v>653</v>
      </c>
    </row>
    <row r="659" spans="1:1" x14ac:dyDescent="0.2">
      <c r="A659">
        <v>654</v>
      </c>
    </row>
    <row r="660" spans="1:1" x14ac:dyDescent="0.2">
      <c r="A660">
        <v>655</v>
      </c>
    </row>
    <row r="661" spans="1:1" x14ac:dyDescent="0.2">
      <c r="A661">
        <v>656</v>
      </c>
    </row>
    <row r="662" spans="1:1" x14ac:dyDescent="0.2">
      <c r="A662">
        <v>657</v>
      </c>
    </row>
    <row r="663" spans="1:1" x14ac:dyDescent="0.2">
      <c r="A663">
        <v>658</v>
      </c>
    </row>
    <row r="664" spans="1:1" x14ac:dyDescent="0.2">
      <c r="A664">
        <v>659</v>
      </c>
    </row>
    <row r="665" spans="1:1" x14ac:dyDescent="0.2">
      <c r="A665">
        <v>660</v>
      </c>
    </row>
    <row r="666" spans="1:1" x14ac:dyDescent="0.2">
      <c r="A666">
        <v>661</v>
      </c>
    </row>
    <row r="667" spans="1:1" x14ac:dyDescent="0.2">
      <c r="A667">
        <v>662</v>
      </c>
    </row>
    <row r="668" spans="1:1" x14ac:dyDescent="0.2">
      <c r="A668">
        <v>663</v>
      </c>
    </row>
    <row r="669" spans="1:1" x14ac:dyDescent="0.2">
      <c r="A669">
        <v>664</v>
      </c>
    </row>
    <row r="670" spans="1:1" x14ac:dyDescent="0.2">
      <c r="A670">
        <v>665</v>
      </c>
    </row>
    <row r="671" spans="1:1" x14ac:dyDescent="0.2">
      <c r="A671">
        <v>666</v>
      </c>
    </row>
    <row r="672" spans="1:1" x14ac:dyDescent="0.2">
      <c r="A672">
        <v>667</v>
      </c>
    </row>
    <row r="673" spans="1:1" x14ac:dyDescent="0.2">
      <c r="A673">
        <v>668</v>
      </c>
    </row>
    <row r="674" spans="1:1" x14ac:dyDescent="0.2">
      <c r="A674">
        <v>669</v>
      </c>
    </row>
    <row r="675" spans="1:1" x14ac:dyDescent="0.2">
      <c r="A675">
        <v>670</v>
      </c>
    </row>
    <row r="676" spans="1:1" x14ac:dyDescent="0.2">
      <c r="A676">
        <v>671</v>
      </c>
    </row>
    <row r="677" spans="1:1" x14ac:dyDescent="0.2">
      <c r="A677">
        <v>672</v>
      </c>
    </row>
    <row r="678" spans="1:1" x14ac:dyDescent="0.2">
      <c r="A678">
        <v>673</v>
      </c>
    </row>
    <row r="679" spans="1:1" x14ac:dyDescent="0.2">
      <c r="A679">
        <v>674</v>
      </c>
    </row>
    <row r="680" spans="1:1" x14ac:dyDescent="0.2">
      <c r="A680">
        <v>675</v>
      </c>
    </row>
    <row r="681" spans="1:1" x14ac:dyDescent="0.2">
      <c r="A681">
        <v>676</v>
      </c>
    </row>
    <row r="682" spans="1:1" x14ac:dyDescent="0.2">
      <c r="A682">
        <v>677</v>
      </c>
    </row>
    <row r="683" spans="1:1" x14ac:dyDescent="0.2">
      <c r="A683">
        <v>678</v>
      </c>
    </row>
    <row r="684" spans="1:1" x14ac:dyDescent="0.2">
      <c r="A684">
        <v>679</v>
      </c>
    </row>
    <row r="685" spans="1:1" x14ac:dyDescent="0.2">
      <c r="A685">
        <v>680</v>
      </c>
    </row>
    <row r="686" spans="1:1" x14ac:dyDescent="0.2">
      <c r="A686">
        <v>681</v>
      </c>
    </row>
    <row r="687" spans="1:1" x14ac:dyDescent="0.2">
      <c r="A687">
        <v>682</v>
      </c>
    </row>
    <row r="688" spans="1:1" x14ac:dyDescent="0.2">
      <c r="A688">
        <v>683</v>
      </c>
    </row>
    <row r="689" spans="1:1" x14ac:dyDescent="0.2">
      <c r="A689">
        <v>684</v>
      </c>
    </row>
    <row r="690" spans="1:1" x14ac:dyDescent="0.2">
      <c r="A690">
        <v>685</v>
      </c>
    </row>
    <row r="691" spans="1:1" x14ac:dyDescent="0.2">
      <c r="A691">
        <v>686</v>
      </c>
    </row>
    <row r="692" spans="1:1" x14ac:dyDescent="0.2">
      <c r="A692">
        <v>687</v>
      </c>
    </row>
    <row r="693" spans="1:1" x14ac:dyDescent="0.2">
      <c r="A693">
        <v>688</v>
      </c>
    </row>
    <row r="694" spans="1:1" x14ac:dyDescent="0.2">
      <c r="A694">
        <v>689</v>
      </c>
    </row>
    <row r="695" spans="1:1" x14ac:dyDescent="0.2">
      <c r="A695">
        <v>690</v>
      </c>
    </row>
    <row r="696" spans="1:1" x14ac:dyDescent="0.2">
      <c r="A696">
        <v>691</v>
      </c>
    </row>
    <row r="697" spans="1:1" x14ac:dyDescent="0.2">
      <c r="A697">
        <v>692</v>
      </c>
    </row>
    <row r="698" spans="1:1" x14ac:dyDescent="0.2">
      <c r="A698">
        <v>693</v>
      </c>
    </row>
    <row r="699" spans="1:1" x14ac:dyDescent="0.2">
      <c r="A699">
        <v>694</v>
      </c>
    </row>
    <row r="700" spans="1:1" x14ac:dyDescent="0.2">
      <c r="A700">
        <v>695</v>
      </c>
    </row>
    <row r="701" spans="1:1" x14ac:dyDescent="0.2">
      <c r="A701">
        <v>696</v>
      </c>
    </row>
    <row r="702" spans="1:1" x14ac:dyDescent="0.2">
      <c r="A702">
        <v>697</v>
      </c>
    </row>
    <row r="703" spans="1:1" x14ac:dyDescent="0.2">
      <c r="A703">
        <v>698</v>
      </c>
    </row>
    <row r="704" spans="1:1" x14ac:dyDescent="0.2">
      <c r="A704">
        <v>699</v>
      </c>
    </row>
    <row r="705" spans="1:1" x14ac:dyDescent="0.2">
      <c r="A705">
        <v>700</v>
      </c>
    </row>
    <row r="706" spans="1:1" x14ac:dyDescent="0.2">
      <c r="A706">
        <v>701</v>
      </c>
    </row>
    <row r="707" spans="1:1" x14ac:dyDescent="0.2">
      <c r="A707">
        <v>702</v>
      </c>
    </row>
    <row r="708" spans="1:1" x14ac:dyDescent="0.2">
      <c r="A708">
        <v>703</v>
      </c>
    </row>
    <row r="709" spans="1:1" x14ac:dyDescent="0.2">
      <c r="A709">
        <v>704</v>
      </c>
    </row>
    <row r="710" spans="1:1" x14ac:dyDescent="0.2">
      <c r="A710">
        <v>705</v>
      </c>
    </row>
    <row r="711" spans="1:1" x14ac:dyDescent="0.2">
      <c r="A711">
        <v>706</v>
      </c>
    </row>
    <row r="712" spans="1:1" x14ac:dyDescent="0.2">
      <c r="A712">
        <v>707</v>
      </c>
    </row>
    <row r="713" spans="1:1" x14ac:dyDescent="0.2">
      <c r="A713">
        <v>708</v>
      </c>
    </row>
    <row r="714" spans="1:1" x14ac:dyDescent="0.2">
      <c r="A714">
        <v>709</v>
      </c>
    </row>
    <row r="715" spans="1:1" x14ac:dyDescent="0.2">
      <c r="A715">
        <v>710</v>
      </c>
    </row>
    <row r="716" spans="1:1" x14ac:dyDescent="0.2">
      <c r="A716">
        <v>711</v>
      </c>
    </row>
    <row r="717" spans="1:1" x14ac:dyDescent="0.2">
      <c r="A717">
        <v>712</v>
      </c>
    </row>
    <row r="718" spans="1:1" x14ac:dyDescent="0.2">
      <c r="A718">
        <v>713</v>
      </c>
    </row>
    <row r="719" spans="1:1" x14ac:dyDescent="0.2">
      <c r="A719">
        <v>714</v>
      </c>
    </row>
    <row r="720" spans="1:1" x14ac:dyDescent="0.2">
      <c r="A720">
        <v>715</v>
      </c>
    </row>
    <row r="721" spans="1:1" x14ac:dyDescent="0.2">
      <c r="A721">
        <v>716</v>
      </c>
    </row>
    <row r="722" spans="1:1" x14ac:dyDescent="0.2">
      <c r="A722">
        <v>717</v>
      </c>
    </row>
    <row r="723" spans="1:1" x14ac:dyDescent="0.2">
      <c r="A723">
        <v>718</v>
      </c>
    </row>
    <row r="724" spans="1:1" x14ac:dyDescent="0.2">
      <c r="A724">
        <v>719</v>
      </c>
    </row>
    <row r="725" spans="1:1" x14ac:dyDescent="0.2">
      <c r="A725">
        <v>720</v>
      </c>
    </row>
    <row r="726" spans="1:1" x14ac:dyDescent="0.2">
      <c r="A726">
        <v>721</v>
      </c>
    </row>
    <row r="727" spans="1:1" x14ac:dyDescent="0.2">
      <c r="A727">
        <v>722</v>
      </c>
    </row>
    <row r="728" spans="1:1" x14ac:dyDescent="0.2">
      <c r="A728">
        <v>723</v>
      </c>
    </row>
    <row r="729" spans="1:1" x14ac:dyDescent="0.2">
      <c r="A729">
        <v>724</v>
      </c>
    </row>
    <row r="730" spans="1:1" x14ac:dyDescent="0.2">
      <c r="A730">
        <v>725</v>
      </c>
    </row>
    <row r="731" spans="1:1" x14ac:dyDescent="0.2">
      <c r="A731">
        <v>726</v>
      </c>
    </row>
    <row r="732" spans="1:1" x14ac:dyDescent="0.2">
      <c r="A732">
        <v>727</v>
      </c>
    </row>
    <row r="733" spans="1:1" x14ac:dyDescent="0.2">
      <c r="A733">
        <v>728</v>
      </c>
    </row>
    <row r="734" spans="1:1" x14ac:dyDescent="0.2">
      <c r="A734">
        <v>729</v>
      </c>
    </row>
    <row r="735" spans="1:1" x14ac:dyDescent="0.2">
      <c r="A735">
        <v>730</v>
      </c>
    </row>
    <row r="736" spans="1:1" x14ac:dyDescent="0.2">
      <c r="A736">
        <v>731</v>
      </c>
    </row>
    <row r="737" spans="1:1" x14ac:dyDescent="0.2">
      <c r="A737">
        <v>732</v>
      </c>
    </row>
    <row r="738" spans="1:1" x14ac:dyDescent="0.2">
      <c r="A738">
        <v>733</v>
      </c>
    </row>
    <row r="739" spans="1:1" x14ac:dyDescent="0.2">
      <c r="A739">
        <v>734</v>
      </c>
    </row>
    <row r="740" spans="1:1" x14ac:dyDescent="0.2">
      <c r="A740">
        <v>735</v>
      </c>
    </row>
    <row r="741" spans="1:1" x14ac:dyDescent="0.2">
      <c r="A741">
        <v>736</v>
      </c>
    </row>
    <row r="742" spans="1:1" x14ac:dyDescent="0.2">
      <c r="A742">
        <v>737</v>
      </c>
    </row>
    <row r="743" spans="1:1" x14ac:dyDescent="0.2">
      <c r="A743">
        <v>738</v>
      </c>
    </row>
    <row r="744" spans="1:1" x14ac:dyDescent="0.2">
      <c r="A744">
        <v>739</v>
      </c>
    </row>
    <row r="745" spans="1:1" x14ac:dyDescent="0.2">
      <c r="A745">
        <v>740</v>
      </c>
    </row>
    <row r="746" spans="1:1" x14ac:dyDescent="0.2">
      <c r="A746">
        <v>741</v>
      </c>
    </row>
    <row r="747" spans="1:1" x14ac:dyDescent="0.2">
      <c r="A747">
        <v>742</v>
      </c>
    </row>
    <row r="748" spans="1:1" x14ac:dyDescent="0.2">
      <c r="A748">
        <v>743</v>
      </c>
    </row>
    <row r="749" spans="1:1" x14ac:dyDescent="0.2">
      <c r="A749">
        <v>744</v>
      </c>
    </row>
    <row r="750" spans="1:1" x14ac:dyDescent="0.2">
      <c r="A750">
        <v>745</v>
      </c>
    </row>
    <row r="751" spans="1:1" x14ac:dyDescent="0.2">
      <c r="A751">
        <v>746</v>
      </c>
    </row>
    <row r="752" spans="1:1" x14ac:dyDescent="0.2">
      <c r="A752">
        <v>747</v>
      </c>
    </row>
    <row r="753" spans="1:1" x14ac:dyDescent="0.2">
      <c r="A753">
        <v>748</v>
      </c>
    </row>
    <row r="754" spans="1:1" x14ac:dyDescent="0.2">
      <c r="A754">
        <v>749</v>
      </c>
    </row>
    <row r="755" spans="1:1" x14ac:dyDescent="0.2">
      <c r="A755">
        <v>750</v>
      </c>
    </row>
    <row r="756" spans="1:1" x14ac:dyDescent="0.2">
      <c r="A756">
        <v>751</v>
      </c>
    </row>
    <row r="757" spans="1:1" x14ac:dyDescent="0.2">
      <c r="A757">
        <v>752</v>
      </c>
    </row>
    <row r="758" spans="1:1" x14ac:dyDescent="0.2">
      <c r="A758">
        <v>753</v>
      </c>
    </row>
    <row r="759" spans="1:1" x14ac:dyDescent="0.2">
      <c r="A759">
        <v>754</v>
      </c>
    </row>
    <row r="760" spans="1:1" x14ac:dyDescent="0.2">
      <c r="A760">
        <v>755</v>
      </c>
    </row>
    <row r="761" spans="1:1" x14ac:dyDescent="0.2">
      <c r="A761">
        <v>756</v>
      </c>
    </row>
    <row r="762" spans="1:1" x14ac:dyDescent="0.2">
      <c r="A762">
        <v>757</v>
      </c>
    </row>
    <row r="763" spans="1:1" x14ac:dyDescent="0.2">
      <c r="A763">
        <v>758</v>
      </c>
    </row>
    <row r="764" spans="1:1" x14ac:dyDescent="0.2">
      <c r="A764">
        <v>759</v>
      </c>
    </row>
    <row r="765" spans="1:1" x14ac:dyDescent="0.2">
      <c r="A765">
        <v>760</v>
      </c>
    </row>
    <row r="766" spans="1:1" x14ac:dyDescent="0.2">
      <c r="A766">
        <v>761</v>
      </c>
    </row>
    <row r="767" spans="1:1" x14ac:dyDescent="0.2">
      <c r="A767">
        <v>762</v>
      </c>
    </row>
    <row r="768" spans="1:1" x14ac:dyDescent="0.2">
      <c r="A768">
        <v>763</v>
      </c>
    </row>
    <row r="769" spans="1:1" x14ac:dyDescent="0.2">
      <c r="A769">
        <v>764</v>
      </c>
    </row>
    <row r="770" spans="1:1" x14ac:dyDescent="0.2">
      <c r="A770">
        <v>765</v>
      </c>
    </row>
    <row r="771" spans="1:1" x14ac:dyDescent="0.2">
      <c r="A771">
        <v>766</v>
      </c>
    </row>
    <row r="772" spans="1:1" x14ac:dyDescent="0.2">
      <c r="A772">
        <v>767</v>
      </c>
    </row>
    <row r="773" spans="1:1" x14ac:dyDescent="0.2">
      <c r="A773">
        <v>768</v>
      </c>
    </row>
    <row r="774" spans="1:1" x14ac:dyDescent="0.2">
      <c r="A774">
        <v>769</v>
      </c>
    </row>
    <row r="775" spans="1:1" x14ac:dyDescent="0.2">
      <c r="A775">
        <v>770</v>
      </c>
    </row>
    <row r="776" spans="1:1" x14ac:dyDescent="0.2">
      <c r="A776">
        <v>771</v>
      </c>
    </row>
    <row r="777" spans="1:1" x14ac:dyDescent="0.2">
      <c r="A777">
        <v>772</v>
      </c>
    </row>
    <row r="778" spans="1:1" x14ac:dyDescent="0.2">
      <c r="A778">
        <v>773</v>
      </c>
    </row>
    <row r="779" spans="1:1" x14ac:dyDescent="0.2">
      <c r="A779">
        <v>774</v>
      </c>
    </row>
    <row r="780" spans="1:1" x14ac:dyDescent="0.2">
      <c r="A780">
        <v>775</v>
      </c>
    </row>
    <row r="781" spans="1:1" x14ac:dyDescent="0.2">
      <c r="A781">
        <v>776</v>
      </c>
    </row>
    <row r="782" spans="1:1" x14ac:dyDescent="0.2">
      <c r="A782">
        <v>777</v>
      </c>
    </row>
    <row r="783" spans="1:1" x14ac:dyDescent="0.2">
      <c r="A783">
        <v>778</v>
      </c>
    </row>
    <row r="784" spans="1:1" x14ac:dyDescent="0.2">
      <c r="A784">
        <v>779</v>
      </c>
    </row>
    <row r="785" spans="1:1" x14ac:dyDescent="0.2">
      <c r="A785">
        <v>780</v>
      </c>
    </row>
    <row r="786" spans="1:1" x14ac:dyDescent="0.2">
      <c r="A786">
        <v>781</v>
      </c>
    </row>
    <row r="787" spans="1:1" x14ac:dyDescent="0.2">
      <c r="A787">
        <v>782</v>
      </c>
    </row>
    <row r="788" spans="1:1" x14ac:dyDescent="0.2">
      <c r="A788">
        <v>783</v>
      </c>
    </row>
    <row r="789" spans="1:1" x14ac:dyDescent="0.2">
      <c r="A789">
        <v>784</v>
      </c>
    </row>
    <row r="790" spans="1:1" x14ac:dyDescent="0.2">
      <c r="A790">
        <v>785</v>
      </c>
    </row>
    <row r="791" spans="1:1" x14ac:dyDescent="0.2">
      <c r="A791">
        <v>786</v>
      </c>
    </row>
    <row r="792" spans="1:1" x14ac:dyDescent="0.2">
      <c r="A792">
        <v>787</v>
      </c>
    </row>
    <row r="793" spans="1:1" x14ac:dyDescent="0.2">
      <c r="A793">
        <v>788</v>
      </c>
    </row>
    <row r="794" spans="1:1" x14ac:dyDescent="0.2">
      <c r="A794">
        <v>789</v>
      </c>
    </row>
    <row r="795" spans="1:1" x14ac:dyDescent="0.2">
      <c r="A795">
        <v>790</v>
      </c>
    </row>
    <row r="796" spans="1:1" x14ac:dyDescent="0.2">
      <c r="A796">
        <v>791</v>
      </c>
    </row>
    <row r="797" spans="1:1" x14ac:dyDescent="0.2">
      <c r="A797">
        <v>792</v>
      </c>
    </row>
    <row r="798" spans="1:1" x14ac:dyDescent="0.2">
      <c r="A798">
        <v>793</v>
      </c>
    </row>
    <row r="799" spans="1:1" x14ac:dyDescent="0.2">
      <c r="A799">
        <v>794</v>
      </c>
    </row>
    <row r="800" spans="1:1" x14ac:dyDescent="0.2">
      <c r="A800">
        <v>795</v>
      </c>
    </row>
    <row r="801" spans="1:1" x14ac:dyDescent="0.2">
      <c r="A801">
        <v>796</v>
      </c>
    </row>
    <row r="802" spans="1:1" x14ac:dyDescent="0.2">
      <c r="A802">
        <v>797</v>
      </c>
    </row>
    <row r="803" spans="1:1" x14ac:dyDescent="0.2">
      <c r="A803">
        <v>798</v>
      </c>
    </row>
    <row r="804" spans="1:1" x14ac:dyDescent="0.2">
      <c r="A804">
        <v>799</v>
      </c>
    </row>
    <row r="805" spans="1:1" x14ac:dyDescent="0.2">
      <c r="A805">
        <v>800</v>
      </c>
    </row>
    <row r="806" spans="1:1" x14ac:dyDescent="0.2">
      <c r="A806">
        <v>801</v>
      </c>
    </row>
    <row r="807" spans="1:1" x14ac:dyDescent="0.2">
      <c r="A807">
        <v>802</v>
      </c>
    </row>
    <row r="808" spans="1:1" x14ac:dyDescent="0.2">
      <c r="A808">
        <v>803</v>
      </c>
    </row>
    <row r="809" spans="1:1" x14ac:dyDescent="0.2">
      <c r="A809">
        <v>804</v>
      </c>
    </row>
    <row r="810" spans="1:1" x14ac:dyDescent="0.2">
      <c r="A810">
        <v>805</v>
      </c>
    </row>
    <row r="811" spans="1:1" x14ac:dyDescent="0.2">
      <c r="A811">
        <v>806</v>
      </c>
    </row>
    <row r="812" spans="1:1" x14ac:dyDescent="0.2">
      <c r="A812">
        <v>807</v>
      </c>
    </row>
    <row r="813" spans="1:1" x14ac:dyDescent="0.2">
      <c r="A813">
        <v>808</v>
      </c>
    </row>
    <row r="814" spans="1:1" x14ac:dyDescent="0.2">
      <c r="A814">
        <v>809</v>
      </c>
    </row>
    <row r="815" spans="1:1" x14ac:dyDescent="0.2">
      <c r="A815">
        <v>810</v>
      </c>
    </row>
    <row r="816" spans="1:1" x14ac:dyDescent="0.2">
      <c r="A816">
        <v>811</v>
      </c>
    </row>
    <row r="817" spans="1:1" x14ac:dyDescent="0.2">
      <c r="A817">
        <v>812</v>
      </c>
    </row>
    <row r="818" spans="1:1" x14ac:dyDescent="0.2">
      <c r="A818">
        <v>813</v>
      </c>
    </row>
    <row r="819" spans="1:1" x14ac:dyDescent="0.2">
      <c r="A819">
        <v>814</v>
      </c>
    </row>
    <row r="820" spans="1:1" x14ac:dyDescent="0.2">
      <c r="A820">
        <v>815</v>
      </c>
    </row>
    <row r="821" spans="1:1" x14ac:dyDescent="0.2">
      <c r="A821">
        <v>816</v>
      </c>
    </row>
    <row r="822" spans="1:1" x14ac:dyDescent="0.2">
      <c r="A822">
        <v>817</v>
      </c>
    </row>
    <row r="823" spans="1:1" x14ac:dyDescent="0.2">
      <c r="A823">
        <v>818</v>
      </c>
    </row>
    <row r="824" spans="1:1" x14ac:dyDescent="0.2">
      <c r="A824">
        <v>819</v>
      </c>
    </row>
    <row r="825" spans="1:1" x14ac:dyDescent="0.2">
      <c r="A825">
        <v>820</v>
      </c>
    </row>
    <row r="826" spans="1:1" x14ac:dyDescent="0.2">
      <c r="A826">
        <v>821</v>
      </c>
    </row>
    <row r="827" spans="1:1" x14ac:dyDescent="0.2">
      <c r="A827">
        <v>822</v>
      </c>
    </row>
    <row r="828" spans="1:1" x14ac:dyDescent="0.2">
      <c r="A828">
        <v>823</v>
      </c>
    </row>
    <row r="829" spans="1:1" x14ac:dyDescent="0.2">
      <c r="A829">
        <v>824</v>
      </c>
    </row>
    <row r="830" spans="1:1" x14ac:dyDescent="0.2">
      <c r="A830">
        <v>825</v>
      </c>
    </row>
    <row r="831" spans="1:1" x14ac:dyDescent="0.2">
      <c r="A831">
        <v>826</v>
      </c>
    </row>
    <row r="832" spans="1:1" x14ac:dyDescent="0.2">
      <c r="A832">
        <v>827</v>
      </c>
    </row>
    <row r="833" spans="1:1" x14ac:dyDescent="0.2">
      <c r="A833">
        <v>828</v>
      </c>
    </row>
    <row r="834" spans="1:1" x14ac:dyDescent="0.2">
      <c r="A834">
        <v>829</v>
      </c>
    </row>
    <row r="835" spans="1:1" x14ac:dyDescent="0.2">
      <c r="A835">
        <v>830</v>
      </c>
    </row>
    <row r="836" spans="1:1" x14ac:dyDescent="0.2">
      <c r="A836">
        <v>831</v>
      </c>
    </row>
    <row r="837" spans="1:1" x14ac:dyDescent="0.2">
      <c r="A837">
        <v>832</v>
      </c>
    </row>
    <row r="838" spans="1:1" x14ac:dyDescent="0.2">
      <c r="A838">
        <v>833</v>
      </c>
    </row>
    <row r="839" spans="1:1" x14ac:dyDescent="0.2">
      <c r="A839">
        <v>834</v>
      </c>
    </row>
    <row r="840" spans="1:1" x14ac:dyDescent="0.2">
      <c r="A840">
        <v>835</v>
      </c>
    </row>
    <row r="841" spans="1:1" x14ac:dyDescent="0.2">
      <c r="A841">
        <v>836</v>
      </c>
    </row>
    <row r="842" spans="1:1" x14ac:dyDescent="0.2">
      <c r="A842">
        <v>837</v>
      </c>
    </row>
    <row r="843" spans="1:1" x14ac:dyDescent="0.2">
      <c r="A843">
        <v>838</v>
      </c>
    </row>
    <row r="844" spans="1:1" x14ac:dyDescent="0.2">
      <c r="A844">
        <v>839</v>
      </c>
    </row>
    <row r="845" spans="1:1" x14ac:dyDescent="0.2">
      <c r="A845">
        <v>840</v>
      </c>
    </row>
    <row r="846" spans="1:1" x14ac:dyDescent="0.2">
      <c r="A846">
        <v>841</v>
      </c>
    </row>
    <row r="847" spans="1:1" x14ac:dyDescent="0.2">
      <c r="A847">
        <v>842</v>
      </c>
    </row>
    <row r="848" spans="1:1" x14ac:dyDescent="0.2">
      <c r="A848">
        <v>843</v>
      </c>
    </row>
    <row r="849" spans="1:1" x14ac:dyDescent="0.2">
      <c r="A849">
        <v>844</v>
      </c>
    </row>
    <row r="850" spans="1:1" x14ac:dyDescent="0.2">
      <c r="A850">
        <v>845</v>
      </c>
    </row>
    <row r="851" spans="1:1" x14ac:dyDescent="0.2">
      <c r="A851">
        <v>846</v>
      </c>
    </row>
    <row r="852" spans="1:1" x14ac:dyDescent="0.2">
      <c r="A852">
        <v>847</v>
      </c>
    </row>
    <row r="853" spans="1:1" x14ac:dyDescent="0.2">
      <c r="A853">
        <v>848</v>
      </c>
    </row>
    <row r="854" spans="1:1" x14ac:dyDescent="0.2">
      <c r="A854">
        <v>849</v>
      </c>
    </row>
    <row r="855" spans="1:1" x14ac:dyDescent="0.2">
      <c r="A855">
        <v>850</v>
      </c>
    </row>
    <row r="856" spans="1:1" x14ac:dyDescent="0.2">
      <c r="A856">
        <v>851</v>
      </c>
    </row>
    <row r="857" spans="1:1" x14ac:dyDescent="0.2">
      <c r="A857">
        <v>852</v>
      </c>
    </row>
    <row r="858" spans="1:1" x14ac:dyDescent="0.2">
      <c r="A858">
        <v>853</v>
      </c>
    </row>
    <row r="859" spans="1:1" x14ac:dyDescent="0.2">
      <c r="A859">
        <v>854</v>
      </c>
    </row>
    <row r="860" spans="1:1" x14ac:dyDescent="0.2">
      <c r="A860">
        <v>855</v>
      </c>
    </row>
    <row r="861" spans="1:1" x14ac:dyDescent="0.2">
      <c r="A861">
        <v>856</v>
      </c>
    </row>
    <row r="862" spans="1:1" x14ac:dyDescent="0.2">
      <c r="A862">
        <v>857</v>
      </c>
    </row>
    <row r="863" spans="1:1" x14ac:dyDescent="0.2">
      <c r="A863">
        <v>858</v>
      </c>
    </row>
    <row r="864" spans="1:1" x14ac:dyDescent="0.2">
      <c r="A864">
        <v>859</v>
      </c>
    </row>
    <row r="865" spans="1:1" x14ac:dyDescent="0.2">
      <c r="A865">
        <v>860</v>
      </c>
    </row>
    <row r="866" spans="1:1" x14ac:dyDescent="0.2">
      <c r="A866">
        <v>861</v>
      </c>
    </row>
    <row r="867" spans="1:1" x14ac:dyDescent="0.2">
      <c r="A867">
        <v>862</v>
      </c>
    </row>
    <row r="868" spans="1:1" x14ac:dyDescent="0.2">
      <c r="A868">
        <v>863</v>
      </c>
    </row>
    <row r="869" spans="1:1" x14ac:dyDescent="0.2">
      <c r="A869">
        <v>864</v>
      </c>
    </row>
    <row r="870" spans="1:1" x14ac:dyDescent="0.2">
      <c r="A870">
        <v>865</v>
      </c>
    </row>
    <row r="871" spans="1:1" x14ac:dyDescent="0.2">
      <c r="A871">
        <v>866</v>
      </c>
    </row>
    <row r="872" spans="1:1" x14ac:dyDescent="0.2">
      <c r="A872">
        <v>867</v>
      </c>
    </row>
    <row r="873" spans="1:1" x14ac:dyDescent="0.2">
      <c r="A873">
        <v>868</v>
      </c>
    </row>
    <row r="874" spans="1:1" x14ac:dyDescent="0.2">
      <c r="A874">
        <v>869</v>
      </c>
    </row>
    <row r="875" spans="1:1" x14ac:dyDescent="0.2">
      <c r="A875">
        <v>870</v>
      </c>
    </row>
    <row r="876" spans="1:1" x14ac:dyDescent="0.2">
      <c r="A876">
        <v>871</v>
      </c>
    </row>
    <row r="877" spans="1:1" x14ac:dyDescent="0.2">
      <c r="A877">
        <v>872</v>
      </c>
    </row>
    <row r="878" spans="1:1" x14ac:dyDescent="0.2">
      <c r="A878">
        <v>873</v>
      </c>
    </row>
    <row r="879" spans="1:1" x14ac:dyDescent="0.2">
      <c r="A879">
        <v>874</v>
      </c>
    </row>
    <row r="880" spans="1:1" x14ac:dyDescent="0.2">
      <c r="A880">
        <v>875</v>
      </c>
    </row>
    <row r="881" spans="1:1" x14ac:dyDescent="0.2">
      <c r="A881">
        <v>876</v>
      </c>
    </row>
    <row r="882" spans="1:1" x14ac:dyDescent="0.2">
      <c r="A882">
        <v>877</v>
      </c>
    </row>
    <row r="883" spans="1:1" x14ac:dyDescent="0.2">
      <c r="A883">
        <v>878</v>
      </c>
    </row>
    <row r="884" spans="1:1" x14ac:dyDescent="0.2">
      <c r="A884">
        <v>879</v>
      </c>
    </row>
    <row r="885" spans="1:1" x14ac:dyDescent="0.2">
      <c r="A885">
        <v>880</v>
      </c>
    </row>
    <row r="886" spans="1:1" x14ac:dyDescent="0.2">
      <c r="A886">
        <v>881</v>
      </c>
    </row>
    <row r="887" spans="1:1" x14ac:dyDescent="0.2">
      <c r="A887">
        <v>882</v>
      </c>
    </row>
    <row r="888" spans="1:1" x14ac:dyDescent="0.2">
      <c r="A888">
        <v>883</v>
      </c>
    </row>
    <row r="889" spans="1:1" x14ac:dyDescent="0.2">
      <c r="A889">
        <v>884</v>
      </c>
    </row>
    <row r="890" spans="1:1" x14ac:dyDescent="0.2">
      <c r="A890">
        <v>885</v>
      </c>
    </row>
    <row r="891" spans="1:1" x14ac:dyDescent="0.2">
      <c r="A891">
        <v>886</v>
      </c>
    </row>
    <row r="892" spans="1:1" x14ac:dyDescent="0.2">
      <c r="A892">
        <v>887</v>
      </c>
    </row>
    <row r="893" spans="1:1" x14ac:dyDescent="0.2">
      <c r="A893">
        <v>888</v>
      </c>
    </row>
    <row r="894" spans="1:1" x14ac:dyDescent="0.2">
      <c r="A894">
        <v>889</v>
      </c>
    </row>
    <row r="895" spans="1:1" x14ac:dyDescent="0.2">
      <c r="A895">
        <v>890</v>
      </c>
    </row>
    <row r="896" spans="1:1" x14ac:dyDescent="0.2">
      <c r="A896">
        <v>891</v>
      </c>
    </row>
    <row r="897" spans="1:1" x14ac:dyDescent="0.2">
      <c r="A897">
        <v>892</v>
      </c>
    </row>
    <row r="898" spans="1:1" x14ac:dyDescent="0.2">
      <c r="A898">
        <v>893</v>
      </c>
    </row>
    <row r="899" spans="1:1" x14ac:dyDescent="0.2">
      <c r="A899">
        <v>894</v>
      </c>
    </row>
    <row r="900" spans="1:1" x14ac:dyDescent="0.2">
      <c r="A900">
        <v>895</v>
      </c>
    </row>
    <row r="901" spans="1:1" x14ac:dyDescent="0.2">
      <c r="A901">
        <v>896</v>
      </c>
    </row>
    <row r="902" spans="1:1" x14ac:dyDescent="0.2">
      <c r="A902">
        <v>897</v>
      </c>
    </row>
    <row r="903" spans="1:1" x14ac:dyDescent="0.2">
      <c r="A903">
        <v>898</v>
      </c>
    </row>
    <row r="904" spans="1:1" x14ac:dyDescent="0.2">
      <c r="A904">
        <v>899</v>
      </c>
    </row>
    <row r="905" spans="1:1" x14ac:dyDescent="0.2">
      <c r="A905">
        <v>900</v>
      </c>
    </row>
    <row r="906" spans="1:1" x14ac:dyDescent="0.2">
      <c r="A906">
        <v>901</v>
      </c>
    </row>
    <row r="907" spans="1:1" x14ac:dyDescent="0.2">
      <c r="A907">
        <v>902</v>
      </c>
    </row>
    <row r="908" spans="1:1" x14ac:dyDescent="0.2">
      <c r="A908">
        <v>903</v>
      </c>
    </row>
    <row r="909" spans="1:1" x14ac:dyDescent="0.2">
      <c r="A909">
        <v>904</v>
      </c>
    </row>
    <row r="910" spans="1:1" x14ac:dyDescent="0.2">
      <c r="A910">
        <v>905</v>
      </c>
    </row>
    <row r="911" spans="1:1" x14ac:dyDescent="0.2">
      <c r="A911">
        <v>906</v>
      </c>
    </row>
    <row r="912" spans="1:1" x14ac:dyDescent="0.2">
      <c r="A912">
        <v>907</v>
      </c>
    </row>
    <row r="913" spans="1:1" x14ac:dyDescent="0.2">
      <c r="A913">
        <v>908</v>
      </c>
    </row>
    <row r="914" spans="1:1" x14ac:dyDescent="0.2">
      <c r="A914">
        <v>909</v>
      </c>
    </row>
    <row r="915" spans="1:1" x14ac:dyDescent="0.2">
      <c r="A915">
        <v>910</v>
      </c>
    </row>
    <row r="916" spans="1:1" x14ac:dyDescent="0.2">
      <c r="A916">
        <v>911</v>
      </c>
    </row>
    <row r="917" spans="1:1" x14ac:dyDescent="0.2">
      <c r="A917">
        <v>912</v>
      </c>
    </row>
    <row r="918" spans="1:1" x14ac:dyDescent="0.2">
      <c r="A918">
        <v>913</v>
      </c>
    </row>
    <row r="919" spans="1:1" x14ac:dyDescent="0.2">
      <c r="A919">
        <v>914</v>
      </c>
    </row>
    <row r="920" spans="1:1" x14ac:dyDescent="0.2">
      <c r="A920">
        <v>915</v>
      </c>
    </row>
    <row r="921" spans="1:1" x14ac:dyDescent="0.2">
      <c r="A921">
        <v>916</v>
      </c>
    </row>
    <row r="922" spans="1:1" x14ac:dyDescent="0.2">
      <c r="A922">
        <v>917</v>
      </c>
    </row>
    <row r="923" spans="1:1" x14ac:dyDescent="0.2">
      <c r="A923">
        <v>918</v>
      </c>
    </row>
    <row r="924" spans="1:1" x14ac:dyDescent="0.2">
      <c r="A924">
        <v>919</v>
      </c>
    </row>
    <row r="925" spans="1:1" x14ac:dyDescent="0.2">
      <c r="A925">
        <v>920</v>
      </c>
    </row>
    <row r="926" spans="1:1" x14ac:dyDescent="0.2">
      <c r="A926">
        <v>921</v>
      </c>
    </row>
    <row r="927" spans="1:1" x14ac:dyDescent="0.2">
      <c r="A927">
        <v>922</v>
      </c>
    </row>
    <row r="928" spans="1:1" x14ac:dyDescent="0.2">
      <c r="A928">
        <v>923</v>
      </c>
    </row>
    <row r="929" spans="1:1" x14ac:dyDescent="0.2">
      <c r="A929">
        <v>924</v>
      </c>
    </row>
    <row r="930" spans="1:1" x14ac:dyDescent="0.2">
      <c r="A930">
        <v>925</v>
      </c>
    </row>
    <row r="931" spans="1:1" x14ac:dyDescent="0.2">
      <c r="A931">
        <v>926</v>
      </c>
    </row>
    <row r="932" spans="1:1" x14ac:dyDescent="0.2">
      <c r="A932">
        <v>927</v>
      </c>
    </row>
    <row r="933" spans="1:1" x14ac:dyDescent="0.2">
      <c r="A933">
        <v>928</v>
      </c>
    </row>
    <row r="934" spans="1:1" x14ac:dyDescent="0.2">
      <c r="A934">
        <v>929</v>
      </c>
    </row>
    <row r="935" spans="1:1" x14ac:dyDescent="0.2">
      <c r="A935">
        <v>930</v>
      </c>
    </row>
    <row r="936" spans="1:1" x14ac:dyDescent="0.2">
      <c r="A936">
        <v>931</v>
      </c>
    </row>
    <row r="937" spans="1:1" x14ac:dyDescent="0.2">
      <c r="A937">
        <v>932</v>
      </c>
    </row>
    <row r="938" spans="1:1" x14ac:dyDescent="0.2">
      <c r="A938">
        <v>933</v>
      </c>
    </row>
    <row r="939" spans="1:1" x14ac:dyDescent="0.2">
      <c r="A939">
        <v>934</v>
      </c>
    </row>
    <row r="940" spans="1:1" x14ac:dyDescent="0.2">
      <c r="A940">
        <v>935</v>
      </c>
    </row>
    <row r="941" spans="1:1" x14ac:dyDescent="0.2">
      <c r="A941">
        <v>936</v>
      </c>
    </row>
    <row r="942" spans="1:1" x14ac:dyDescent="0.2">
      <c r="A942">
        <v>937</v>
      </c>
    </row>
    <row r="943" spans="1:1" x14ac:dyDescent="0.2">
      <c r="A943">
        <v>938</v>
      </c>
    </row>
    <row r="944" spans="1:1" x14ac:dyDescent="0.2">
      <c r="A944">
        <v>939</v>
      </c>
    </row>
    <row r="945" spans="1:1" x14ac:dyDescent="0.2">
      <c r="A945">
        <v>940</v>
      </c>
    </row>
    <row r="946" spans="1:1" x14ac:dyDescent="0.2">
      <c r="A946">
        <v>941</v>
      </c>
    </row>
    <row r="947" spans="1:1" x14ac:dyDescent="0.2">
      <c r="A947">
        <v>942</v>
      </c>
    </row>
    <row r="948" spans="1:1" x14ac:dyDescent="0.2">
      <c r="A948">
        <v>943</v>
      </c>
    </row>
    <row r="949" spans="1:1" x14ac:dyDescent="0.2">
      <c r="A949">
        <v>944</v>
      </c>
    </row>
    <row r="950" spans="1:1" x14ac:dyDescent="0.2">
      <c r="A950">
        <v>945</v>
      </c>
    </row>
    <row r="951" spans="1:1" x14ac:dyDescent="0.2">
      <c r="A951">
        <v>946</v>
      </c>
    </row>
    <row r="952" spans="1:1" x14ac:dyDescent="0.2">
      <c r="A952">
        <v>947</v>
      </c>
    </row>
    <row r="953" spans="1:1" x14ac:dyDescent="0.2">
      <c r="A953">
        <v>948</v>
      </c>
    </row>
    <row r="954" spans="1:1" x14ac:dyDescent="0.2">
      <c r="A954">
        <v>949</v>
      </c>
    </row>
    <row r="955" spans="1:1" x14ac:dyDescent="0.2">
      <c r="A955">
        <v>950</v>
      </c>
    </row>
    <row r="956" spans="1:1" x14ac:dyDescent="0.2">
      <c r="A956">
        <v>951</v>
      </c>
    </row>
    <row r="957" spans="1:1" x14ac:dyDescent="0.2">
      <c r="A957">
        <v>952</v>
      </c>
    </row>
    <row r="958" spans="1:1" x14ac:dyDescent="0.2">
      <c r="A958">
        <v>953</v>
      </c>
    </row>
    <row r="959" spans="1:1" x14ac:dyDescent="0.2">
      <c r="A959">
        <v>954</v>
      </c>
    </row>
    <row r="960" spans="1:1" x14ac:dyDescent="0.2">
      <c r="A960">
        <v>955</v>
      </c>
    </row>
    <row r="961" spans="1:1" x14ac:dyDescent="0.2">
      <c r="A961">
        <v>956</v>
      </c>
    </row>
    <row r="962" spans="1:1" x14ac:dyDescent="0.2">
      <c r="A962">
        <v>957</v>
      </c>
    </row>
    <row r="963" spans="1:1" x14ac:dyDescent="0.2">
      <c r="A963">
        <v>958</v>
      </c>
    </row>
    <row r="964" spans="1:1" x14ac:dyDescent="0.2">
      <c r="A964">
        <v>959</v>
      </c>
    </row>
    <row r="965" spans="1:1" x14ac:dyDescent="0.2">
      <c r="A965">
        <v>960</v>
      </c>
    </row>
    <row r="966" spans="1:1" x14ac:dyDescent="0.2">
      <c r="A966">
        <v>961</v>
      </c>
    </row>
    <row r="967" spans="1:1" x14ac:dyDescent="0.2">
      <c r="A967">
        <v>962</v>
      </c>
    </row>
    <row r="968" spans="1:1" x14ac:dyDescent="0.2">
      <c r="A968">
        <v>963</v>
      </c>
    </row>
    <row r="969" spans="1:1" x14ac:dyDescent="0.2">
      <c r="A969">
        <v>964</v>
      </c>
    </row>
    <row r="970" spans="1:1" x14ac:dyDescent="0.2">
      <c r="A970">
        <v>965</v>
      </c>
    </row>
    <row r="971" spans="1:1" x14ac:dyDescent="0.2">
      <c r="A971">
        <v>966</v>
      </c>
    </row>
    <row r="972" spans="1:1" x14ac:dyDescent="0.2">
      <c r="A972">
        <v>967</v>
      </c>
    </row>
    <row r="973" spans="1:1" x14ac:dyDescent="0.2">
      <c r="A973">
        <v>968</v>
      </c>
    </row>
    <row r="974" spans="1:1" x14ac:dyDescent="0.2">
      <c r="A974">
        <v>969</v>
      </c>
    </row>
    <row r="975" spans="1:1" x14ac:dyDescent="0.2">
      <c r="A975">
        <v>970</v>
      </c>
    </row>
    <row r="976" spans="1:1" x14ac:dyDescent="0.2">
      <c r="A976">
        <v>971</v>
      </c>
    </row>
    <row r="977" spans="1:1" x14ac:dyDescent="0.2">
      <c r="A977">
        <v>972</v>
      </c>
    </row>
    <row r="978" spans="1:1" x14ac:dyDescent="0.2">
      <c r="A978">
        <v>973</v>
      </c>
    </row>
    <row r="979" spans="1:1" x14ac:dyDescent="0.2">
      <c r="A979">
        <v>974</v>
      </c>
    </row>
    <row r="980" spans="1:1" x14ac:dyDescent="0.2">
      <c r="A980">
        <v>975</v>
      </c>
    </row>
    <row r="981" spans="1:1" x14ac:dyDescent="0.2">
      <c r="A981">
        <v>976</v>
      </c>
    </row>
    <row r="982" spans="1:1" x14ac:dyDescent="0.2">
      <c r="A982">
        <v>977</v>
      </c>
    </row>
    <row r="983" spans="1:1" x14ac:dyDescent="0.2">
      <c r="A983">
        <v>978</v>
      </c>
    </row>
    <row r="984" spans="1:1" x14ac:dyDescent="0.2">
      <c r="A984">
        <v>979</v>
      </c>
    </row>
    <row r="985" spans="1:1" x14ac:dyDescent="0.2">
      <c r="A985">
        <v>980</v>
      </c>
    </row>
    <row r="986" spans="1:1" x14ac:dyDescent="0.2">
      <c r="A986">
        <v>981</v>
      </c>
    </row>
    <row r="987" spans="1:1" x14ac:dyDescent="0.2">
      <c r="A987">
        <v>982</v>
      </c>
    </row>
    <row r="988" spans="1:1" x14ac:dyDescent="0.2">
      <c r="A988">
        <v>983</v>
      </c>
    </row>
    <row r="989" spans="1:1" x14ac:dyDescent="0.2">
      <c r="A989">
        <v>984</v>
      </c>
    </row>
    <row r="990" spans="1:1" x14ac:dyDescent="0.2">
      <c r="A990">
        <v>985</v>
      </c>
    </row>
    <row r="991" spans="1:1" x14ac:dyDescent="0.2">
      <c r="A991">
        <v>986</v>
      </c>
    </row>
    <row r="992" spans="1:1" x14ac:dyDescent="0.2">
      <c r="A992">
        <v>987</v>
      </c>
    </row>
    <row r="993" spans="1:1" x14ac:dyDescent="0.2">
      <c r="A993">
        <v>988</v>
      </c>
    </row>
    <row r="994" spans="1:1" x14ac:dyDescent="0.2">
      <c r="A994">
        <v>989</v>
      </c>
    </row>
    <row r="995" spans="1:1" x14ac:dyDescent="0.2">
      <c r="A995">
        <v>990</v>
      </c>
    </row>
    <row r="996" spans="1:1" x14ac:dyDescent="0.2">
      <c r="A996">
        <v>991</v>
      </c>
    </row>
    <row r="997" spans="1:1" x14ac:dyDescent="0.2">
      <c r="A997">
        <v>992</v>
      </c>
    </row>
    <row r="998" spans="1:1" x14ac:dyDescent="0.2">
      <c r="A998">
        <v>993</v>
      </c>
    </row>
    <row r="999" spans="1:1" x14ac:dyDescent="0.2">
      <c r="A999">
        <v>994</v>
      </c>
    </row>
    <row r="1000" spans="1:1" x14ac:dyDescent="0.2">
      <c r="A1000">
        <v>995</v>
      </c>
    </row>
    <row r="1001" spans="1:1" x14ac:dyDescent="0.2">
      <c r="A1001">
        <v>996</v>
      </c>
    </row>
    <row r="1002" spans="1:1" x14ac:dyDescent="0.2">
      <c r="A1002">
        <v>997</v>
      </c>
    </row>
    <row r="1003" spans="1:1" x14ac:dyDescent="0.2">
      <c r="A1003">
        <v>998</v>
      </c>
    </row>
    <row r="1004" spans="1:1" x14ac:dyDescent="0.2">
      <c r="A1004">
        <v>999</v>
      </c>
    </row>
    <row r="1005" spans="1:1" x14ac:dyDescent="0.2">
      <c r="A1005">
        <v>1000</v>
      </c>
    </row>
    <row r="1010" spans="1:2" ht="19" x14ac:dyDescent="0.25">
      <c r="A1010" s="4" t="s">
        <v>509</v>
      </c>
    </row>
    <row r="1011" spans="1:2" x14ac:dyDescent="0.2">
      <c r="A1011" t="s">
        <v>510</v>
      </c>
      <c r="B1011" s="16" t="e">
        <f>AVERAGE(B6:B1005)</f>
        <v>#DIV/0!</v>
      </c>
    </row>
    <row r="1012" spans="1:2" x14ac:dyDescent="0.2">
      <c r="A1012" t="s">
        <v>511</v>
      </c>
      <c r="B1012" s="16" t="e">
        <f>PERCENTILE(B6:B1005,0.1)</f>
        <v>#NUM!</v>
      </c>
    </row>
    <row r="1013" spans="1:2" x14ac:dyDescent="0.2">
      <c r="A1013" t="s">
        <v>512</v>
      </c>
      <c r="B1013" s="16" t="e">
        <f>PERCENTILE(B6:B1005,0.5)</f>
        <v>#NUM!</v>
      </c>
    </row>
    <row r="1014" spans="1:2" x14ac:dyDescent="0.2">
      <c r="A1014" t="s">
        <v>513</v>
      </c>
      <c r="B1014" s="16" t="e">
        <f>PERCENTILE(B6:B1005,0.9)</f>
        <v>#NUM!</v>
      </c>
    </row>
    <row r="1015" spans="1:2" x14ac:dyDescent="0.2">
      <c r="A1015" t="s">
        <v>514</v>
      </c>
      <c r="B1015" s="16" t="e">
        <f>STDEV(B6:B1005)</f>
        <v>#DIV/0!</v>
      </c>
    </row>
    <row r="1016" spans="1:2" x14ac:dyDescent="0.2">
      <c r="A1016" t="s">
        <v>515</v>
      </c>
      <c r="B1016" s="26">
        <f>COUNTIF(B6:B1005,"&gt;0")/1000</f>
        <v>0</v>
      </c>
    </row>
    <row r="1018" spans="1:2" ht="19" x14ac:dyDescent="0.25">
      <c r="A1018" s="4" t="s">
        <v>516</v>
      </c>
    </row>
    <row r="1019" spans="1:2" x14ac:dyDescent="0.2">
      <c r="A1019" t="s">
        <v>517</v>
      </c>
      <c r="B1019" s="24" t="str">
        <f>IFERROR(AVERAGE(I6:I1005),"Run MC")</f>
        <v>Run MC</v>
      </c>
    </row>
    <row r="1020" spans="1:2" x14ac:dyDescent="0.2">
      <c r="A1020" t="s">
        <v>518</v>
      </c>
      <c r="B1020" s="24" t="str">
        <f>IFERROR(PERCENTILE(I6:I1005,0.1),"Run MC")</f>
        <v>Run MC</v>
      </c>
    </row>
    <row r="1021" spans="1:2" x14ac:dyDescent="0.2">
      <c r="A1021" t="s">
        <v>519</v>
      </c>
      <c r="B1021" s="24" t="str">
        <f>IFERROR(PERCENTILE(I6:I1005,0.5),"Run MC")</f>
        <v>Run MC</v>
      </c>
    </row>
    <row r="1022" spans="1:2" x14ac:dyDescent="0.2">
      <c r="A1022" t="s">
        <v>520</v>
      </c>
      <c r="B1022" s="24" t="str">
        <f>IFERROR(PERCENTILE(I6:I1005,0.9),"Run MC")</f>
        <v>Run MC</v>
      </c>
    </row>
    <row r="1023" spans="1:2" x14ac:dyDescent="0.2">
      <c r="A1023" t="s">
        <v>521</v>
      </c>
      <c r="B1023" s="26">
        <f>IFERROR(COUNTIF(I6:I1005,"&lt;="&amp;Season_Length)/1000,"Run MC")</f>
        <v>0</v>
      </c>
    </row>
  </sheetData>
  <mergeCells count="2">
    <mergeCell ref="L2:O2"/>
    <mergeCell ref="L1:O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D4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60" customWidth="1"/>
  </cols>
  <sheetData>
    <row r="1" spans="1:4" ht="21" x14ac:dyDescent="0.25">
      <c r="A1" s="5" t="s">
        <v>522</v>
      </c>
    </row>
    <row r="3" spans="1:4" x14ac:dyDescent="0.2">
      <c r="A3" s="36" t="s">
        <v>523</v>
      </c>
      <c r="B3" s="34"/>
      <c r="C3" s="34"/>
      <c r="D3" s="35"/>
    </row>
    <row r="4" spans="1:4" ht="300" customHeight="1" x14ac:dyDescent="0.2">
      <c r="A4" s="33" t="s">
        <v>524</v>
      </c>
      <c r="B4" s="34"/>
      <c r="C4" s="34"/>
      <c r="D4" s="35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23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525</v>
      </c>
    </row>
    <row r="3" spans="1:10" x14ac:dyDescent="0.2">
      <c r="A3" s="36" t="s">
        <v>526</v>
      </c>
      <c r="B3" s="34"/>
      <c r="C3" s="34"/>
      <c r="D3" s="34"/>
      <c r="E3" s="34"/>
      <c r="F3" s="34"/>
      <c r="G3" s="34"/>
      <c r="H3" s="34"/>
      <c r="I3" s="34"/>
      <c r="J3" s="35"/>
    </row>
    <row r="4" spans="1:10" ht="240" customHeight="1" x14ac:dyDescent="0.2">
      <c r="A4" s="33" t="s">
        <v>527</v>
      </c>
      <c r="B4" s="34"/>
      <c r="C4" s="34"/>
      <c r="D4" s="34"/>
      <c r="E4" s="34"/>
      <c r="F4" s="34"/>
      <c r="G4" s="34"/>
      <c r="H4" s="34"/>
      <c r="I4" s="34"/>
      <c r="J4" s="35"/>
    </row>
    <row r="6" spans="1:10" x14ac:dyDescent="0.2">
      <c r="A6" s="6" t="s">
        <v>525</v>
      </c>
    </row>
    <row r="7" spans="1:10" ht="15" customHeight="1" x14ac:dyDescent="0.2">
      <c r="A7" s="7" t="s">
        <v>46</v>
      </c>
      <c r="B7" s="31" t="s">
        <v>528</v>
      </c>
      <c r="C7" s="32"/>
      <c r="D7" s="32"/>
      <c r="E7" s="32"/>
      <c r="F7" s="32"/>
      <c r="G7" s="32"/>
      <c r="H7" s="32"/>
      <c r="I7" s="32"/>
      <c r="J7" s="32"/>
    </row>
    <row r="8" spans="1:10" ht="15" customHeight="1" x14ac:dyDescent="0.2">
      <c r="A8" s="7" t="s">
        <v>48</v>
      </c>
      <c r="B8" s="31" t="s">
        <v>529</v>
      </c>
      <c r="C8" s="32"/>
      <c r="D8" s="32"/>
      <c r="E8" s="32"/>
      <c r="F8" s="32"/>
      <c r="G8" s="32"/>
      <c r="H8" s="32"/>
      <c r="I8" s="32"/>
      <c r="J8" s="32"/>
    </row>
    <row r="9" spans="1:10" ht="30" customHeight="1" x14ac:dyDescent="0.2">
      <c r="A9" s="7" t="s">
        <v>50</v>
      </c>
      <c r="B9" s="31" t="s">
        <v>530</v>
      </c>
      <c r="C9" s="32"/>
      <c r="D9" s="32"/>
      <c r="E9" s="32"/>
      <c r="F9" s="32"/>
      <c r="G9" s="32"/>
      <c r="H9" s="32"/>
      <c r="I9" s="32"/>
      <c r="J9" s="32"/>
    </row>
    <row r="10" spans="1:10" ht="15" customHeight="1" x14ac:dyDescent="0.2">
      <c r="A10" s="7" t="s">
        <v>52</v>
      </c>
      <c r="B10" s="31" t="s">
        <v>531</v>
      </c>
      <c r="C10" s="32"/>
      <c r="D10" s="32"/>
      <c r="E10" s="32"/>
      <c r="F10" s="32"/>
      <c r="G10" s="32"/>
      <c r="H10" s="32"/>
      <c r="I10" s="32"/>
      <c r="J10" s="32"/>
    </row>
    <row r="11" spans="1:10" ht="15" customHeight="1" x14ac:dyDescent="0.2">
      <c r="A11" s="7" t="s">
        <v>54</v>
      </c>
      <c r="B11" s="31" t="s">
        <v>532</v>
      </c>
      <c r="C11" s="32"/>
      <c r="D11" s="32"/>
      <c r="E11" s="32"/>
      <c r="F11" s="32"/>
      <c r="G11" s="32"/>
      <c r="H11" s="32"/>
      <c r="I11" s="32"/>
      <c r="J11" s="32"/>
    </row>
    <row r="12" spans="1:10" x14ac:dyDescent="0.2">
      <c r="A12" s="9" t="s">
        <v>250</v>
      </c>
      <c r="B12" s="9" t="s">
        <v>533</v>
      </c>
      <c r="C12" s="9" t="s">
        <v>534</v>
      </c>
      <c r="D12" s="9" t="s">
        <v>535</v>
      </c>
      <c r="E12" s="9" t="s">
        <v>536</v>
      </c>
      <c r="F12" s="9" t="s">
        <v>537</v>
      </c>
      <c r="G12" s="9" t="s">
        <v>538</v>
      </c>
      <c r="H12" s="9" t="s">
        <v>539</v>
      </c>
      <c r="I12" s="9" t="s">
        <v>430</v>
      </c>
      <c r="J12" s="9" t="s">
        <v>540</v>
      </c>
    </row>
    <row r="13" spans="1:10" x14ac:dyDescent="0.2">
      <c r="A13">
        <f>Base_Year+0</f>
        <v>2026</v>
      </c>
      <c r="B13" s="16">
        <f ca="1">S1_Value*INDEX(Timeline_LearningMult,2)</f>
        <v>45433.456105794481</v>
      </c>
      <c r="C13" s="16">
        <f ca="1">S2_Value*INDEX(Timeline_LearningMult,2)</f>
        <v>40956.905937147378</v>
      </c>
      <c r="D13" s="16">
        <f ca="1">S3_Value*INDEX(Timeline_LearningMult,2)</f>
        <v>26088.839889516443</v>
      </c>
      <c r="E13" s="16">
        <f ca="1">S4_Value*INDEX(Timeline_LearningMult,2)</f>
        <v>19806.150453889601</v>
      </c>
      <c r="F13" s="16">
        <f ca="1">SUM(B13:E13)</f>
        <v>132285.35238634789</v>
      </c>
      <c r="G13" s="16">
        <f>Testing_Cost</f>
        <v>10000</v>
      </c>
      <c r="H13" s="16">
        <f ca="1">F13-G13</f>
        <v>122285.35238634789</v>
      </c>
      <c r="I13">
        <f>INDEX(Timeline_DiscountFactor,2)</f>
        <v>0.95419847328244267</v>
      </c>
      <c r="J13" s="16">
        <f ca="1">H13*I13</f>
        <v>116684.49655185867</v>
      </c>
    </row>
    <row r="14" spans="1:10" x14ac:dyDescent="0.2">
      <c r="A14">
        <f>Base_Year+1</f>
        <v>2027</v>
      </c>
      <c r="B14" s="16">
        <f ca="1">S1_Value*INDEX(Timeline_LearningMult,3)</f>
        <v>68150.184158691729</v>
      </c>
      <c r="C14" s="16">
        <f ca="1">S2_Value*INDEX(Timeline_LearningMult,3)</f>
        <v>61435.358905721063</v>
      </c>
      <c r="D14" s="16">
        <f ca="1">S3_Value*INDEX(Timeline_LearningMult,3)</f>
        <v>39133.259834274664</v>
      </c>
      <c r="E14" s="16">
        <f ca="1">S4_Value*INDEX(Timeline_LearningMult,3)</f>
        <v>29709.225680834403</v>
      </c>
      <c r="F14" s="16">
        <f ca="1">SUM(B14:E14)</f>
        <v>198428.02857952187</v>
      </c>
      <c r="G14" s="16">
        <f>Testing_Cost</f>
        <v>10000</v>
      </c>
      <c r="H14" s="16">
        <f ca="1">F14-G14</f>
        <v>188428.02857952187</v>
      </c>
      <c r="I14">
        <f>INDEX(Timeline_DiscountFactor,3)</f>
        <v>0.91049472641454443</v>
      </c>
      <c r="J14" s="16">
        <f ca="1">H14*I14</f>
        <v>171562.72633034372</v>
      </c>
    </row>
    <row r="15" spans="1:10" x14ac:dyDescent="0.2">
      <c r="A15">
        <f>Base_Year+2</f>
        <v>2028</v>
      </c>
      <c r="B15" s="16">
        <f ca="1">S1_Value*INDEX(Timeline_LearningMult,4)</f>
        <v>90866.912211588962</v>
      </c>
      <c r="C15" s="16">
        <f ca="1">S2_Value*INDEX(Timeline_LearningMult,4)</f>
        <v>81913.811874294755</v>
      </c>
      <c r="D15" s="16">
        <f ca="1">S3_Value*INDEX(Timeline_LearningMult,4)</f>
        <v>52177.679779032886</v>
      </c>
      <c r="E15" s="16">
        <f ca="1">S4_Value*INDEX(Timeline_LearningMult,4)</f>
        <v>39612.300907779201</v>
      </c>
      <c r="F15" s="16">
        <f ca="1">SUM(B15:E15)</f>
        <v>264570.70477269578</v>
      </c>
      <c r="G15" s="16">
        <f>Testing_Cost</f>
        <v>10000</v>
      </c>
      <c r="H15" s="16">
        <f ca="1">F15-G15</f>
        <v>254570.70477269578</v>
      </c>
      <c r="I15">
        <f>INDEX(Timeline_DiscountFactor,4)</f>
        <v>0.86879267787647374</v>
      </c>
      <c r="J15" s="16">
        <f ca="1">H15*I15</f>
        <v>221169.16430837158</v>
      </c>
    </row>
    <row r="16" spans="1:10" x14ac:dyDescent="0.2">
      <c r="A16">
        <f>Base_Year+3</f>
        <v>2029</v>
      </c>
      <c r="B16" s="16">
        <f ca="1">S1_Value*INDEX(Timeline_LearningMult,5)</f>
        <v>90866.912211588962</v>
      </c>
      <c r="C16" s="16">
        <f ca="1">S2_Value*INDEX(Timeline_LearningMult,5)</f>
        <v>81913.811874294755</v>
      </c>
      <c r="D16" s="16">
        <f ca="1">S3_Value*INDEX(Timeline_LearningMult,5)</f>
        <v>52177.679779032886</v>
      </c>
      <c r="E16" s="16">
        <f ca="1">S4_Value*INDEX(Timeline_LearningMult,5)</f>
        <v>39612.300907779201</v>
      </c>
      <c r="F16" s="16">
        <f ca="1">SUM(B16:E16)</f>
        <v>264570.70477269578</v>
      </c>
      <c r="G16" s="16">
        <f>Testing_Cost</f>
        <v>10000</v>
      </c>
      <c r="H16" s="16">
        <f ca="1">F16-G16</f>
        <v>254570.70477269578</v>
      </c>
      <c r="I16">
        <f>INDEX(Timeline_DiscountFactor,5)</f>
        <v>0.82900064682869612</v>
      </c>
      <c r="J16" s="16">
        <f ca="1">H16*I16</f>
        <v>211039.27892020185</v>
      </c>
    </row>
    <row r="17" spans="1:10" x14ac:dyDescent="0.2">
      <c r="A17">
        <f>Base_Year+4</f>
        <v>2030</v>
      </c>
      <c r="B17" s="16">
        <f ca="1">S1_Value*INDEX(Timeline_LearningMult,6)</f>
        <v>90866.912211588962</v>
      </c>
      <c r="C17" s="16">
        <f ca="1">S2_Value*INDEX(Timeline_LearningMult,6)</f>
        <v>81913.811874294755</v>
      </c>
      <c r="D17" s="16">
        <f ca="1">S3_Value*INDEX(Timeline_LearningMult,6)</f>
        <v>52177.679779032886</v>
      </c>
      <c r="E17" s="16">
        <f ca="1">S4_Value*INDEX(Timeline_LearningMult,6)</f>
        <v>39612.300907779201</v>
      </c>
      <c r="F17" s="16">
        <f ca="1">SUM(B17:E17)</f>
        <v>264570.70477269578</v>
      </c>
      <c r="G17" s="16">
        <f>Testing_Cost</f>
        <v>10000</v>
      </c>
      <c r="H17" s="16">
        <f ca="1">F17-G17</f>
        <v>254570.70477269578</v>
      </c>
      <c r="I17">
        <f>INDEX(Timeline_DiscountFactor,6)</f>
        <v>0.79103115155409931</v>
      </c>
      <c r="J17" s="16">
        <f ca="1">H17*I17</f>
        <v>201373.35774828418</v>
      </c>
    </row>
    <row r="20" spans="1:10" ht="19" x14ac:dyDescent="0.25">
      <c r="A20" s="4" t="s">
        <v>541</v>
      </c>
    </row>
    <row r="21" spans="1:10" x14ac:dyDescent="0.2">
      <c r="A21" t="s">
        <v>542</v>
      </c>
      <c r="B21" s="16">
        <f ca="1">SUM(J13:J17)</f>
        <v>921829.0238590599</v>
      </c>
    </row>
    <row r="22" spans="1:10" x14ac:dyDescent="0.2">
      <c r="A22" t="s">
        <v>543</v>
      </c>
      <c r="B22" s="16">
        <f ca="1">SUM(F13:F17)</f>
        <v>1124425.4952839571</v>
      </c>
    </row>
    <row r="23" spans="1:10" x14ac:dyDescent="0.2">
      <c r="A23" t="s">
        <v>544</v>
      </c>
      <c r="B23" s="16">
        <f ca="1">SUM(H13:H17)</f>
        <v>1074425.4952839571</v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17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545</v>
      </c>
    </row>
    <row r="3" spans="1:4" x14ac:dyDescent="0.2">
      <c r="A3" s="36" t="s">
        <v>546</v>
      </c>
      <c r="B3" s="34"/>
      <c r="C3" s="34"/>
      <c r="D3" s="35"/>
    </row>
    <row r="4" spans="1:4" ht="240" customHeight="1" x14ac:dyDescent="0.2">
      <c r="A4" s="33" t="s">
        <v>547</v>
      </c>
      <c r="B4" s="34"/>
      <c r="C4" s="34"/>
      <c r="D4" s="35"/>
    </row>
    <row r="6" spans="1:4" x14ac:dyDescent="0.2">
      <c r="A6" s="6" t="s">
        <v>548</v>
      </c>
    </row>
    <row r="7" spans="1:4" ht="30" customHeight="1" x14ac:dyDescent="0.2">
      <c r="A7" s="7" t="s">
        <v>46</v>
      </c>
      <c r="B7" s="31" t="s">
        <v>549</v>
      </c>
      <c r="C7" s="32"/>
      <c r="D7" s="32"/>
    </row>
    <row r="8" spans="1:4" ht="30" customHeight="1" x14ac:dyDescent="0.2">
      <c r="A8" s="7" t="s">
        <v>48</v>
      </c>
      <c r="B8" s="31" t="s">
        <v>550</v>
      </c>
      <c r="C8" s="32"/>
      <c r="D8" s="32"/>
    </row>
    <row r="9" spans="1:4" ht="75" customHeight="1" x14ac:dyDescent="0.2">
      <c r="A9" s="7" t="s">
        <v>50</v>
      </c>
      <c r="B9" s="31" t="s">
        <v>551</v>
      </c>
      <c r="C9" s="32"/>
      <c r="D9" s="32"/>
    </row>
    <row r="10" spans="1:4" ht="15" customHeight="1" x14ac:dyDescent="0.2">
      <c r="A10" s="7" t="s">
        <v>52</v>
      </c>
      <c r="B10" s="31" t="s">
        <v>552</v>
      </c>
      <c r="C10" s="32"/>
      <c r="D10" s="32"/>
    </row>
    <row r="11" spans="1:4" ht="15" customHeight="1" x14ac:dyDescent="0.2">
      <c r="A11" s="7" t="s">
        <v>54</v>
      </c>
      <c r="B11" s="31" t="s">
        <v>553</v>
      </c>
      <c r="C11" s="32"/>
      <c r="D11" s="32"/>
    </row>
    <row r="12" spans="1:4" x14ac:dyDescent="0.2">
      <c r="A12" s="9" t="s">
        <v>250</v>
      </c>
      <c r="B12" s="9" t="s">
        <v>554</v>
      </c>
      <c r="C12" s="9" t="s">
        <v>555</v>
      </c>
      <c r="D12" s="9" t="s">
        <v>556</v>
      </c>
    </row>
    <row r="13" spans="1:4" x14ac:dyDescent="0.2">
      <c r="A13">
        <f>Base_Year+0</f>
        <v>2026</v>
      </c>
      <c r="B13" s="16">
        <f ca="1">INDEX(tbl_Annual[Net_Annual],1)</f>
        <v>122285.35238634789</v>
      </c>
      <c r="C13" s="16">
        <f ca="1">B13</f>
        <v>122285.35238634789</v>
      </c>
      <c r="D13" s="16">
        <f ca="1">INDEX(tbl_Annual[Discounted],1)</f>
        <v>116684.49655185867</v>
      </c>
    </row>
    <row r="14" spans="1:4" x14ac:dyDescent="0.2">
      <c r="A14">
        <f>Base_Year+1</f>
        <v>2027</v>
      </c>
      <c r="B14" s="16">
        <f ca="1">INDEX(tbl_Annual[Net_Annual],2)</f>
        <v>188428.02857952187</v>
      </c>
      <c r="C14" s="16">
        <f ca="1">C13+B14</f>
        <v>310713.38096586976</v>
      </c>
      <c r="D14" s="16">
        <f ca="1">D13+INDEX(tbl_Annual[Discounted],2)</f>
        <v>288247.22288220236</v>
      </c>
    </row>
    <row r="15" spans="1:4" x14ac:dyDescent="0.2">
      <c r="A15">
        <f>Base_Year+2</f>
        <v>2028</v>
      </c>
      <c r="B15" s="16">
        <f ca="1">INDEX(tbl_Annual[Net_Annual],3)</f>
        <v>254570.70477269578</v>
      </c>
      <c r="C15" s="16">
        <f ca="1">C14+B15</f>
        <v>565284.08573856554</v>
      </c>
      <c r="D15" s="16">
        <f ca="1">D14+INDEX(tbl_Annual[Discounted],3)</f>
        <v>509416.38719057397</v>
      </c>
    </row>
    <row r="16" spans="1:4" x14ac:dyDescent="0.2">
      <c r="A16">
        <f>Base_Year+3</f>
        <v>2029</v>
      </c>
      <c r="B16" s="16">
        <f ca="1">INDEX(tbl_Annual[Net_Annual],4)</f>
        <v>254570.70477269578</v>
      </c>
      <c r="C16" s="16">
        <f ca="1">C15+B16</f>
        <v>819854.79051126132</v>
      </c>
      <c r="D16" s="16">
        <f ca="1">D15+INDEX(tbl_Annual[Discounted],4)</f>
        <v>720455.66611077578</v>
      </c>
    </row>
    <row r="17" spans="1:4" x14ac:dyDescent="0.2">
      <c r="A17">
        <f>Base_Year+4</f>
        <v>2030</v>
      </c>
      <c r="B17" s="16">
        <f ca="1">INDEX(tbl_Annual[Net_Annual],5)</f>
        <v>254570.70477269578</v>
      </c>
      <c r="C17" s="16">
        <f ca="1">C16+B17</f>
        <v>1074425.4952839571</v>
      </c>
      <c r="D17" s="16">
        <f ca="1">D16+INDEX(tbl_Annual[Discounted],5)</f>
        <v>921829.0238590599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26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557</v>
      </c>
    </row>
    <row r="3" spans="1:4" x14ac:dyDescent="0.2">
      <c r="A3" s="36" t="s">
        <v>558</v>
      </c>
      <c r="B3" s="34"/>
      <c r="C3" s="34"/>
      <c r="D3" s="35"/>
    </row>
    <row r="4" spans="1:4" ht="315" customHeight="1" x14ac:dyDescent="0.2">
      <c r="A4" s="33" t="s">
        <v>559</v>
      </c>
      <c r="B4" s="34"/>
      <c r="C4" s="34"/>
      <c r="D4" s="35"/>
    </row>
    <row r="6" spans="1:4" x14ac:dyDescent="0.2">
      <c r="A6" s="6" t="s">
        <v>557</v>
      </c>
    </row>
    <row r="7" spans="1:4" ht="45" customHeight="1" x14ac:dyDescent="0.2">
      <c r="A7" s="7" t="s">
        <v>46</v>
      </c>
      <c r="B7" s="31" t="s">
        <v>560</v>
      </c>
      <c r="C7" s="32"/>
      <c r="D7" s="32"/>
    </row>
    <row r="8" spans="1:4" ht="30" customHeight="1" x14ac:dyDescent="0.2">
      <c r="A8" s="7" t="s">
        <v>48</v>
      </c>
      <c r="B8" s="31" t="s">
        <v>561</v>
      </c>
      <c r="C8" s="32"/>
      <c r="D8" s="32"/>
    </row>
    <row r="9" spans="1:4" ht="75" customHeight="1" x14ac:dyDescent="0.2">
      <c r="A9" s="7" t="s">
        <v>50</v>
      </c>
      <c r="B9" s="31" t="s">
        <v>562</v>
      </c>
      <c r="C9" s="32"/>
      <c r="D9" s="32"/>
    </row>
    <row r="10" spans="1:4" ht="30" customHeight="1" x14ac:dyDescent="0.2">
      <c r="A10" s="7" t="s">
        <v>52</v>
      </c>
      <c r="B10" s="31" t="s">
        <v>563</v>
      </c>
      <c r="C10" s="32"/>
      <c r="D10" s="32"/>
    </row>
    <row r="11" spans="1:4" ht="30" customHeight="1" x14ac:dyDescent="0.2">
      <c r="A11" s="7" t="s">
        <v>54</v>
      </c>
      <c r="B11" s="31" t="s">
        <v>564</v>
      </c>
      <c r="C11" s="32"/>
      <c r="D11" s="32"/>
    </row>
    <row r="12" spans="1:4" x14ac:dyDescent="0.2">
      <c r="A12" s="9" t="s">
        <v>434</v>
      </c>
      <c r="B12" s="9" t="s">
        <v>57</v>
      </c>
      <c r="C12" s="9" t="s">
        <v>182</v>
      </c>
      <c r="D12" s="9" t="s">
        <v>435</v>
      </c>
    </row>
    <row r="13" spans="1:4" x14ac:dyDescent="0.2">
      <c r="A13" t="s">
        <v>565</v>
      </c>
      <c r="B13">
        <f>Annual_Throughput</f>
        <v>50000</v>
      </c>
      <c r="C13" t="s">
        <v>228</v>
      </c>
      <c r="D13" t="s">
        <v>566</v>
      </c>
    </row>
    <row r="14" spans="1:4" x14ac:dyDescent="0.2">
      <c r="A14" t="s">
        <v>567</v>
      </c>
      <c r="B14" s="28">
        <f ca="1">Gross_Value</f>
        <v>264570.70477269578</v>
      </c>
      <c r="C14" t="s">
        <v>242</v>
      </c>
      <c r="D14" t="s">
        <v>568</v>
      </c>
    </row>
    <row r="15" spans="1:4" x14ac:dyDescent="0.2">
      <c r="A15" t="s">
        <v>569</v>
      </c>
      <c r="B15" s="28">
        <f>Testing_Cost</f>
        <v>10000</v>
      </c>
      <c r="C15" t="s">
        <v>242</v>
      </c>
      <c r="D15" t="s">
        <v>570</v>
      </c>
    </row>
    <row r="16" spans="1:4" x14ac:dyDescent="0.2">
      <c r="A16" t="s">
        <v>571</v>
      </c>
      <c r="B16" s="28">
        <f ca="1">Gross_Value-Testing_Cost</f>
        <v>254570.70477269578</v>
      </c>
      <c r="C16" t="s">
        <v>242</v>
      </c>
      <c r="D16" t="s">
        <v>572</v>
      </c>
    </row>
    <row r="17" spans="1:4" x14ac:dyDescent="0.2">
      <c r="A17" t="s">
        <v>573</v>
      </c>
      <c r="B17" s="28">
        <f ca="1">Gross_Value/Annual_Throughput</f>
        <v>5.2914140954539155</v>
      </c>
      <c r="C17" t="s">
        <v>231</v>
      </c>
      <c r="D17" t="s">
        <v>574</v>
      </c>
    </row>
    <row r="18" spans="1:4" x14ac:dyDescent="0.2">
      <c r="A18" t="s">
        <v>575</v>
      </c>
      <c r="B18" s="28">
        <f ca="1">(Gross_Value-Testing_Cost)/Annual_Throughput</f>
        <v>5.0914140954539153</v>
      </c>
      <c r="C18" t="s">
        <v>231</v>
      </c>
      <c r="D18" t="s">
        <v>576</v>
      </c>
    </row>
    <row r="19" spans="1:4" x14ac:dyDescent="0.2">
      <c r="A19" t="s">
        <v>577</v>
      </c>
      <c r="B19" s="28">
        <f>Testing_Cost/Annual_Throughput</f>
        <v>0.2</v>
      </c>
      <c r="C19" t="s">
        <v>231</v>
      </c>
      <c r="D19" t="s">
        <v>578</v>
      </c>
    </row>
    <row r="20" spans="1:4" x14ac:dyDescent="0.2">
      <c r="A20" t="s">
        <v>579</v>
      </c>
      <c r="B20" s="28">
        <f ca="1">NPV_Total/(Annual_Throughput*5)</f>
        <v>3.6873160954362394</v>
      </c>
      <c r="C20" t="s">
        <v>231</v>
      </c>
      <c r="D20" t="s">
        <v>580</v>
      </c>
    </row>
    <row r="23" spans="1:4" ht="19" x14ac:dyDescent="0.25">
      <c r="A23" s="4" t="s">
        <v>581</v>
      </c>
    </row>
    <row r="24" spans="1:4" x14ac:dyDescent="0.2">
      <c r="A24" t="s">
        <v>582</v>
      </c>
      <c r="B24" s="16">
        <f>INDEX(TestOpt_Cost,MATCH(Testing_Option,TestOpt_Option,0))</f>
        <v>10</v>
      </c>
    </row>
    <row r="25" spans="1:4" x14ac:dyDescent="0.2">
      <c r="A25" t="s">
        <v>583</v>
      </c>
      <c r="B25">
        <f>Testing_Cost/INDEX(TestOpt_Cost,MATCH(Testing_Option,TestOpt_Option,0))</f>
        <v>1000</v>
      </c>
    </row>
    <row r="26" spans="1:4" x14ac:dyDescent="0.2">
      <c r="A26" t="s">
        <v>584</v>
      </c>
      <c r="B26" s="28">
        <f ca="1">(Gross_Value-Testing_Cost)/(Testing_Cost/INDEX(TestOpt_Cost,MATCH(Testing_Option,TestOpt_Option,0)))</f>
        <v>254.57070477269579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27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585</v>
      </c>
    </row>
    <row r="3" spans="1:7" x14ac:dyDescent="0.2">
      <c r="A3" s="36" t="s">
        <v>586</v>
      </c>
      <c r="B3" s="34"/>
      <c r="C3" s="34"/>
      <c r="D3" s="34"/>
      <c r="E3" s="34"/>
      <c r="F3" s="34"/>
      <c r="G3" s="35"/>
    </row>
    <row r="4" spans="1:7" ht="360" customHeight="1" x14ac:dyDescent="0.2">
      <c r="A4" s="33" t="s">
        <v>587</v>
      </c>
      <c r="B4" s="34"/>
      <c r="C4" s="34"/>
      <c r="D4" s="34"/>
      <c r="E4" s="34"/>
      <c r="F4" s="34"/>
      <c r="G4" s="35"/>
    </row>
    <row r="6" spans="1:7" x14ac:dyDescent="0.2">
      <c r="A6" s="6" t="s">
        <v>585</v>
      </c>
    </row>
    <row r="7" spans="1:7" ht="30" customHeight="1" x14ac:dyDescent="0.2">
      <c r="A7" s="7" t="s">
        <v>46</v>
      </c>
      <c r="B7" s="31" t="s">
        <v>588</v>
      </c>
      <c r="C7" s="32"/>
      <c r="D7" s="32"/>
      <c r="E7" s="32"/>
      <c r="F7" s="32"/>
      <c r="G7" s="32"/>
    </row>
    <row r="8" spans="1:7" ht="15" customHeight="1" x14ac:dyDescent="0.2">
      <c r="A8" s="7" t="s">
        <v>48</v>
      </c>
      <c r="B8" s="31" t="s">
        <v>589</v>
      </c>
      <c r="C8" s="32"/>
      <c r="D8" s="32"/>
      <c r="E8" s="32"/>
      <c r="F8" s="32"/>
      <c r="G8" s="32"/>
    </row>
    <row r="9" spans="1:7" ht="45" customHeight="1" x14ac:dyDescent="0.2">
      <c r="A9" s="7" t="s">
        <v>50</v>
      </c>
      <c r="B9" s="31" t="s">
        <v>590</v>
      </c>
      <c r="C9" s="32"/>
      <c r="D9" s="32"/>
      <c r="E9" s="32"/>
      <c r="F9" s="32"/>
      <c r="G9" s="32"/>
    </row>
    <row r="10" spans="1:7" ht="15" customHeight="1" x14ac:dyDescent="0.2">
      <c r="A10" s="7" t="s">
        <v>52</v>
      </c>
      <c r="B10" s="31" t="s">
        <v>591</v>
      </c>
      <c r="C10" s="32"/>
      <c r="D10" s="32"/>
      <c r="E10" s="32"/>
      <c r="F10" s="32"/>
      <c r="G10" s="32"/>
    </row>
    <row r="11" spans="1:7" ht="15" customHeight="1" x14ac:dyDescent="0.2">
      <c r="A11" s="7" t="s">
        <v>54</v>
      </c>
      <c r="B11" s="31" t="s">
        <v>592</v>
      </c>
      <c r="C11" s="32"/>
      <c r="D11" s="32"/>
      <c r="E11" s="32"/>
      <c r="F11" s="32"/>
      <c r="G11" s="32"/>
    </row>
    <row r="12" spans="1:7" x14ac:dyDescent="0.2">
      <c r="A12" s="9" t="s">
        <v>56</v>
      </c>
      <c r="B12" s="9" t="s">
        <v>411</v>
      </c>
      <c r="C12" s="9" t="s">
        <v>65</v>
      </c>
      <c r="D12" s="9" t="s">
        <v>412</v>
      </c>
      <c r="E12" s="9" t="s">
        <v>593</v>
      </c>
      <c r="F12" s="9" t="s">
        <v>594</v>
      </c>
      <c r="G12" s="9" t="s">
        <v>595</v>
      </c>
    </row>
    <row r="13" spans="1:7" x14ac:dyDescent="0.2">
      <c r="A13" t="s">
        <v>596</v>
      </c>
      <c r="B13">
        <v>3</v>
      </c>
      <c r="C13">
        <v>5</v>
      </c>
      <c r="D13">
        <v>10</v>
      </c>
      <c r="E13" s="16">
        <f ca="1">NPV_Total*(B13/C13)</f>
        <v>553097.41431543592</v>
      </c>
      <c r="F13" s="16">
        <f ca="1">NPV_Total*(D13/C13)</f>
        <v>1843658.0477181198</v>
      </c>
      <c r="G13" s="16">
        <f ca="1">ABS(F13-E13)</f>
        <v>1290560.6334026838</v>
      </c>
    </row>
    <row r="14" spans="1:7" x14ac:dyDescent="0.2">
      <c r="A14" t="s">
        <v>67</v>
      </c>
      <c r="B14">
        <v>0.04</v>
      </c>
      <c r="C14">
        <v>4.8000000000000001E-2</v>
      </c>
      <c r="D14">
        <v>0.06</v>
      </c>
      <c r="E14" s="16">
        <f ca="1">NPV_Total*((1+C14)/(1+B14))^2.5</f>
        <v>939658.91001191654</v>
      </c>
      <c r="F14" s="16">
        <f ca="1">NPV_Total*((1+C14)/(1+D14))^2.5</f>
        <v>895960.61926658941</v>
      </c>
      <c r="G14" s="16">
        <f ca="1">ABS(F14-E14)</f>
        <v>43698.290745327133</v>
      </c>
    </row>
    <row r="15" spans="1:7" x14ac:dyDescent="0.2">
      <c r="A15" t="s">
        <v>597</v>
      </c>
      <c r="B15">
        <v>80</v>
      </c>
      <c r="C15">
        <v>100</v>
      </c>
      <c r="D15">
        <v>120</v>
      </c>
      <c r="E15" s="16">
        <f ca="1">NPV_Total*(B15/C15)</f>
        <v>737463.21908724797</v>
      </c>
      <c r="F15" s="16">
        <f ca="1">NPV_Total*(D15/C15)</f>
        <v>1106194.8286308718</v>
      </c>
      <c r="G15" s="16">
        <f ca="1">ABS(F15-E15)</f>
        <v>368731.60954362387</v>
      </c>
    </row>
    <row r="16" spans="1:7" x14ac:dyDescent="0.2">
      <c r="A16" t="s">
        <v>598</v>
      </c>
      <c r="B16">
        <v>0.5</v>
      </c>
      <c r="C16">
        <v>1</v>
      </c>
      <c r="D16">
        <v>2</v>
      </c>
      <c r="E16" s="16">
        <f ca="1">NPV_Total*(B16/C16)</f>
        <v>460914.51192952995</v>
      </c>
      <c r="F16" s="16">
        <f ca="1">NPV_Total*(D16/C16)</f>
        <v>1843658.0477181198</v>
      </c>
      <c r="G16" s="16">
        <f ca="1">ABS(F16-E16)</f>
        <v>1382743.5357885899</v>
      </c>
    </row>
    <row r="19" spans="1:1" ht="19" x14ac:dyDescent="0.25">
      <c r="A19" s="4" t="s">
        <v>599</v>
      </c>
    </row>
    <row r="20" spans="1:1" x14ac:dyDescent="0.2">
      <c r="A20" t="s">
        <v>600</v>
      </c>
    </row>
    <row r="21" spans="1:1" x14ac:dyDescent="0.2">
      <c r="A21" t="s">
        <v>601</v>
      </c>
    </row>
    <row r="22" spans="1:1" x14ac:dyDescent="0.2">
      <c r="A22" t="s">
        <v>602</v>
      </c>
    </row>
    <row r="24" spans="1:1" ht="19" x14ac:dyDescent="0.25">
      <c r="A24" s="4" t="s">
        <v>603</v>
      </c>
    </row>
    <row r="25" spans="1:1" x14ac:dyDescent="0.2">
      <c r="A25" t="s">
        <v>604</v>
      </c>
    </row>
    <row r="26" spans="1:1" x14ac:dyDescent="0.2">
      <c r="A26" t="s">
        <v>605</v>
      </c>
    </row>
    <row r="27" spans="1:1" x14ac:dyDescent="0.2">
      <c r="A27" t="s">
        <v>606</v>
      </c>
    </row>
  </sheetData>
  <mergeCells count="7">
    <mergeCell ref="B11:G11"/>
    <mergeCell ref="B10:G10"/>
    <mergeCell ref="A3:G3"/>
    <mergeCell ref="B9:G9"/>
    <mergeCell ref="A4:G4"/>
    <mergeCell ref="B8:G8"/>
    <mergeCell ref="B7:G7"/>
  </mergeCell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109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2" ht="21" x14ac:dyDescent="0.25">
      <c r="A1" s="5" t="s">
        <v>607</v>
      </c>
    </row>
    <row r="3" spans="1:2" x14ac:dyDescent="0.2">
      <c r="A3" s="36" t="s">
        <v>608</v>
      </c>
      <c r="B3" s="35"/>
    </row>
    <row r="4" spans="1:2" ht="270" customHeight="1" x14ac:dyDescent="0.2">
      <c r="A4" s="33" t="s">
        <v>609</v>
      </c>
      <c r="B4" s="35"/>
    </row>
    <row r="6" spans="1:2" x14ac:dyDescent="0.2">
      <c r="A6" s="6" t="s">
        <v>610</v>
      </c>
    </row>
    <row r="7" spans="1:2" ht="120" customHeight="1" x14ac:dyDescent="0.2">
      <c r="A7" s="7" t="s">
        <v>46</v>
      </c>
      <c r="B7" s="8" t="s">
        <v>611</v>
      </c>
    </row>
    <row r="8" spans="1:2" ht="105" customHeight="1" x14ac:dyDescent="0.2">
      <c r="A8" s="7" t="s">
        <v>48</v>
      </c>
      <c r="B8" s="8" t="s">
        <v>612</v>
      </c>
    </row>
    <row r="9" spans="1:2" ht="300" customHeight="1" x14ac:dyDescent="0.2">
      <c r="A9" s="7" t="s">
        <v>50</v>
      </c>
      <c r="B9" s="8" t="s">
        <v>613</v>
      </c>
    </row>
    <row r="10" spans="1:2" ht="75" customHeight="1" x14ac:dyDescent="0.2">
      <c r="A10" s="7" t="s">
        <v>52</v>
      </c>
      <c r="B10" s="8" t="s">
        <v>614</v>
      </c>
    </row>
    <row r="11" spans="1:2" ht="60" customHeight="1" x14ac:dyDescent="0.2">
      <c r="A11" s="7" t="s">
        <v>54</v>
      </c>
      <c r="B11" s="8" t="s">
        <v>615</v>
      </c>
    </row>
    <row r="12" spans="1:2" x14ac:dyDescent="0.2">
      <c r="A12" s="9" t="s">
        <v>434</v>
      </c>
      <c r="B12" s="9" t="s">
        <v>57</v>
      </c>
    </row>
    <row r="13" spans="1:2" x14ac:dyDescent="0.2">
      <c r="A13" t="s">
        <v>616</v>
      </c>
      <c r="B13" t="str">
        <f>Testing_Option</f>
        <v>Daily_Biosensor</v>
      </c>
    </row>
    <row r="14" spans="1:2" x14ac:dyDescent="0.2">
      <c r="A14" t="s">
        <v>617</v>
      </c>
      <c r="B14" s="16">
        <f ca="1">NPV_Total</f>
        <v>921829.0238590599</v>
      </c>
    </row>
    <row r="15" spans="1:2" x14ac:dyDescent="0.2">
      <c r="A15" t="s">
        <v>618</v>
      </c>
      <c r="B15" s="16" t="e">
        <f>MC_P10</f>
        <v>#NUM!</v>
      </c>
    </row>
    <row r="16" spans="1:2" x14ac:dyDescent="0.2">
      <c r="A16" t="s">
        <v>619</v>
      </c>
      <c r="B16" s="16" t="e">
        <f>MC_P50</f>
        <v>#NUM!</v>
      </c>
    </row>
    <row r="17" spans="1:3" x14ac:dyDescent="0.2">
      <c r="A17" t="s">
        <v>620</v>
      </c>
      <c r="B17" s="16" t="e">
        <f>MC_P90</f>
        <v>#NUM!</v>
      </c>
    </row>
    <row r="18" spans="1:3" x14ac:dyDescent="0.2">
      <c r="A18" t="s">
        <v>621</v>
      </c>
      <c r="B18" s="26">
        <f>MC_Prob_Positive</f>
        <v>0</v>
      </c>
    </row>
    <row r="19" spans="1:3" x14ac:dyDescent="0.2">
      <c r="A19" t="s">
        <v>622</v>
      </c>
      <c r="B19" s="16">
        <f>Testing_Cost</f>
        <v>10000</v>
      </c>
    </row>
    <row r="20" spans="1:3" x14ac:dyDescent="0.2">
      <c r="A20" t="s">
        <v>623</v>
      </c>
      <c r="B20" s="16">
        <f ca="1">Year1_Gross_Value</f>
        <v>132285.35238634789</v>
      </c>
    </row>
    <row r="21" spans="1:3" x14ac:dyDescent="0.2">
      <c r="A21" t="s">
        <v>624</v>
      </c>
      <c r="B21" s="16">
        <f ca="1">Year1_Net_Value</f>
        <v>122285.35238634789</v>
      </c>
    </row>
    <row r="23" spans="1:3" x14ac:dyDescent="0.2">
      <c r="A23" s="6" t="s">
        <v>625</v>
      </c>
    </row>
    <row r="24" spans="1:3" ht="60" customHeight="1" x14ac:dyDescent="0.2">
      <c r="A24" s="7" t="s">
        <v>46</v>
      </c>
      <c r="B24" s="31" t="s">
        <v>626</v>
      </c>
      <c r="C24" s="32"/>
    </row>
    <row r="25" spans="1:3" ht="45" customHeight="1" x14ac:dyDescent="0.2">
      <c r="A25" s="7" t="s">
        <v>48</v>
      </c>
      <c r="B25" s="31" t="s">
        <v>627</v>
      </c>
      <c r="C25" s="32"/>
    </row>
    <row r="26" spans="1:3" ht="165" customHeight="1" x14ac:dyDescent="0.2">
      <c r="A26" s="7" t="s">
        <v>50</v>
      </c>
      <c r="B26" s="31" t="s">
        <v>628</v>
      </c>
      <c r="C26" s="32"/>
    </row>
    <row r="27" spans="1:3" ht="45" customHeight="1" x14ac:dyDescent="0.2">
      <c r="A27" s="7" t="s">
        <v>52</v>
      </c>
      <c r="B27" s="31" t="s">
        <v>629</v>
      </c>
      <c r="C27" s="32"/>
    </row>
    <row r="28" spans="1:3" ht="30" customHeight="1" x14ac:dyDescent="0.2">
      <c r="A28" s="7" t="s">
        <v>54</v>
      </c>
      <c r="B28" s="31" t="s">
        <v>630</v>
      </c>
      <c r="C28" s="32"/>
    </row>
    <row r="29" spans="1:3" x14ac:dyDescent="0.2">
      <c r="A29" s="9" t="s">
        <v>93</v>
      </c>
      <c r="B29" s="9" t="s">
        <v>475</v>
      </c>
      <c r="C29" s="9" t="s">
        <v>631</v>
      </c>
    </row>
    <row r="30" spans="1:3" x14ac:dyDescent="0.2">
      <c r="A30" t="s">
        <v>97</v>
      </c>
      <c r="B30" s="16">
        <f ca="1">S1_Value</f>
        <v>90866.912211588962</v>
      </c>
      <c r="C30" t="str">
        <f>INDEX(Gate_S1,MATCH(Testing_Option,TestOpt_Option,0))</f>
        <v>ENABLED</v>
      </c>
    </row>
    <row r="31" spans="1:3" x14ac:dyDescent="0.2">
      <c r="A31" t="s">
        <v>101</v>
      </c>
      <c r="B31" s="16">
        <f ca="1">S2_Value</f>
        <v>81913.811874294755</v>
      </c>
      <c r="C31" t="str">
        <f>INDEX(Gate_S2,MATCH(Testing_Option,TestOpt_Option,0))</f>
        <v>ENABLED</v>
      </c>
    </row>
    <row r="32" spans="1:3" x14ac:dyDescent="0.2">
      <c r="A32" t="s">
        <v>102</v>
      </c>
      <c r="B32" s="16">
        <f ca="1">S3_Value</f>
        <v>52177.679779032886</v>
      </c>
      <c r="C32" t="str">
        <f>INDEX(Gate_S3,MATCH(Testing_Option,TestOpt_Option,0))</f>
        <v>ENABLED</v>
      </c>
    </row>
    <row r="33" spans="1:3" x14ac:dyDescent="0.2">
      <c r="A33" t="s">
        <v>104</v>
      </c>
      <c r="B33" s="16">
        <f ca="1">S4_Value</f>
        <v>39612.300907779201</v>
      </c>
      <c r="C33" t="str">
        <f>INDEX(Gate_S4,MATCH(Testing_Option,TestOpt_Option,0))</f>
        <v>ENABLED</v>
      </c>
    </row>
    <row r="35" spans="1:3" x14ac:dyDescent="0.2">
      <c r="A35" s="6" t="s">
        <v>432</v>
      </c>
    </row>
    <row r="36" spans="1:3" ht="45" customHeight="1" x14ac:dyDescent="0.2">
      <c r="A36" s="7" t="s">
        <v>46</v>
      </c>
      <c r="B36" s="31" t="s">
        <v>632</v>
      </c>
      <c r="C36" s="32"/>
    </row>
    <row r="37" spans="1:3" ht="60" customHeight="1" x14ac:dyDescent="0.2">
      <c r="A37" s="7" t="s">
        <v>48</v>
      </c>
      <c r="B37" s="31" t="s">
        <v>633</v>
      </c>
      <c r="C37" s="32"/>
    </row>
    <row r="38" spans="1:3" ht="180" customHeight="1" x14ac:dyDescent="0.2">
      <c r="A38" s="7" t="s">
        <v>50</v>
      </c>
      <c r="B38" s="31" t="s">
        <v>634</v>
      </c>
      <c r="C38" s="32"/>
    </row>
    <row r="39" spans="1:3" ht="45" customHeight="1" x14ac:dyDescent="0.2">
      <c r="A39" s="7" t="s">
        <v>52</v>
      </c>
      <c r="B39" s="31" t="s">
        <v>635</v>
      </c>
      <c r="C39" s="32"/>
    </row>
    <row r="40" spans="1:3" ht="30" customHeight="1" x14ac:dyDescent="0.2">
      <c r="A40" s="7" t="s">
        <v>54</v>
      </c>
      <c r="B40" s="31" t="s">
        <v>636</v>
      </c>
      <c r="C40" s="32"/>
    </row>
    <row r="41" spans="1:3" x14ac:dyDescent="0.2">
      <c r="A41" s="9" t="s">
        <v>434</v>
      </c>
      <c r="B41" s="9" t="s">
        <v>57</v>
      </c>
      <c r="C41" s="9" t="s">
        <v>631</v>
      </c>
    </row>
    <row r="42" spans="1:3" x14ac:dyDescent="0.2">
      <c r="A42" t="s">
        <v>637</v>
      </c>
      <c r="B42" s="29">
        <f>Initial_NAFC</f>
        <v>63.1</v>
      </c>
      <c r="C42" t="str">
        <f>IF(Initial_NAFC&gt;Target_NAFC,"Above Target","At/Below Target")</f>
        <v>Above Target</v>
      </c>
    </row>
    <row r="43" spans="1:3" x14ac:dyDescent="0.2">
      <c r="A43" t="s">
        <v>638</v>
      </c>
      <c r="B43" s="29">
        <f>Target_NAFC</f>
        <v>50</v>
      </c>
      <c r="C43" t="s">
        <v>639</v>
      </c>
    </row>
    <row r="44" spans="1:3" x14ac:dyDescent="0.2">
      <c r="A44" t="s">
        <v>640</v>
      </c>
      <c r="B44" s="30">
        <f ca="1">Days_to_Compliance</f>
        <v>33.698726294785374</v>
      </c>
      <c r="C44" t="str">
        <f ca="1">Compliance_Status</f>
        <v>ACHIEVABLE</v>
      </c>
    </row>
    <row r="45" spans="1:3" x14ac:dyDescent="0.2">
      <c r="A45" t="s">
        <v>641</v>
      </c>
      <c r="B45" s="25">
        <f ca="1">Circulation_Cycles</f>
        <v>3</v>
      </c>
      <c r="C45" t="str">
        <f ca="1">IF(Circulation_Cycles&lt;=3,"Standard","Extended")</f>
        <v>Standard</v>
      </c>
    </row>
    <row r="46" spans="1:3" x14ac:dyDescent="0.2">
      <c r="A46" t="s">
        <v>642</v>
      </c>
      <c r="B46" s="26">
        <f>Treatment_Efficiency</f>
        <v>0.2076069730586371</v>
      </c>
      <c r="C46" t="str">
        <f>IF(Treatment_Efficiency&gt;0.2,"Good","Low")</f>
        <v>Good</v>
      </c>
    </row>
    <row r="47" spans="1:3" x14ac:dyDescent="0.2">
      <c r="A47" t="s">
        <v>643</v>
      </c>
      <c r="B47" s="30" t="str">
        <f>MC_Expected_Days</f>
        <v>Run MC</v>
      </c>
      <c r="C47" t="str">
        <f>IF(MC_Expected_Days&lt;=Season_Length,"Achievable","Risk")</f>
        <v>Risk</v>
      </c>
    </row>
    <row r="48" spans="1:3" x14ac:dyDescent="0.2">
      <c r="A48" t="s">
        <v>644</v>
      </c>
      <c r="B48" s="30" t="str">
        <f>MC_P90_Days</f>
        <v>Run MC</v>
      </c>
      <c r="C48" t="str">
        <f>IF(MC_P90_Days&lt;=Season_Length,"Low Risk","High Risk")</f>
        <v>High Risk</v>
      </c>
    </row>
    <row r="49" spans="1:4" x14ac:dyDescent="0.2">
      <c r="A49" t="s">
        <v>645</v>
      </c>
      <c r="B49" s="26">
        <f>MC_Prob_Achievable</f>
        <v>0</v>
      </c>
      <c r="C49" t="str">
        <f>IF(MC_Prob_Achievable&gt;=0.9,"High Confidence","Review Required")</f>
        <v>Review Required</v>
      </c>
    </row>
    <row r="51" spans="1:4" x14ac:dyDescent="0.2">
      <c r="A51" s="6" t="s">
        <v>646</v>
      </c>
    </row>
    <row r="52" spans="1:4" ht="45" customHeight="1" x14ac:dyDescent="0.2">
      <c r="A52" s="7" t="s">
        <v>46</v>
      </c>
      <c r="B52" s="31" t="s">
        <v>647</v>
      </c>
      <c r="C52" s="32"/>
      <c r="D52" s="32"/>
    </row>
    <row r="53" spans="1:4" ht="45" customHeight="1" x14ac:dyDescent="0.2">
      <c r="A53" s="7" t="s">
        <v>48</v>
      </c>
      <c r="B53" s="31" t="s">
        <v>648</v>
      </c>
      <c r="C53" s="32"/>
      <c r="D53" s="32"/>
    </row>
    <row r="54" spans="1:4" ht="90" customHeight="1" x14ac:dyDescent="0.2">
      <c r="A54" s="7" t="s">
        <v>50</v>
      </c>
      <c r="B54" s="31" t="s">
        <v>649</v>
      </c>
      <c r="C54" s="32"/>
      <c r="D54" s="32"/>
    </row>
    <row r="55" spans="1:4" ht="30" customHeight="1" x14ac:dyDescent="0.2">
      <c r="A55" s="7" t="s">
        <v>52</v>
      </c>
      <c r="B55" s="31" t="s">
        <v>650</v>
      </c>
      <c r="C55" s="32"/>
      <c r="D55" s="32"/>
    </row>
    <row r="56" spans="1:4" ht="30" customHeight="1" x14ac:dyDescent="0.2">
      <c r="A56" s="7" t="s">
        <v>54</v>
      </c>
      <c r="B56" s="31" t="s">
        <v>651</v>
      </c>
      <c r="C56" s="32"/>
      <c r="D56" s="32"/>
    </row>
    <row r="57" spans="1:4" x14ac:dyDescent="0.2">
      <c r="A57" s="9" t="s">
        <v>434</v>
      </c>
      <c r="B57" s="9" t="s">
        <v>267</v>
      </c>
      <c r="C57" s="9" t="s">
        <v>268</v>
      </c>
      <c r="D57" s="9" t="s">
        <v>61</v>
      </c>
    </row>
    <row r="58" spans="1:4" x14ac:dyDescent="0.2">
      <c r="A58" t="s">
        <v>652</v>
      </c>
      <c r="B58" t="s">
        <v>99</v>
      </c>
      <c r="C58" t="s">
        <v>99</v>
      </c>
      <c r="D58" t="s">
        <v>100</v>
      </c>
    </row>
    <row r="59" spans="1:4" x14ac:dyDescent="0.2">
      <c r="A59" t="s">
        <v>653</v>
      </c>
      <c r="B59" t="s">
        <v>99</v>
      </c>
      <c r="C59" t="s">
        <v>99</v>
      </c>
      <c r="D59" t="s">
        <v>100</v>
      </c>
    </row>
    <row r="60" spans="1:4" x14ac:dyDescent="0.2">
      <c r="A60" t="s">
        <v>654</v>
      </c>
      <c r="B60" t="s">
        <v>99</v>
      </c>
      <c r="C60" t="s">
        <v>100</v>
      </c>
      <c r="D60" t="s">
        <v>100</v>
      </c>
    </row>
    <row r="61" spans="1:4" x14ac:dyDescent="0.2">
      <c r="A61" t="s">
        <v>655</v>
      </c>
      <c r="B61" t="s">
        <v>99</v>
      </c>
      <c r="C61" t="s">
        <v>99</v>
      </c>
      <c r="D61" t="s">
        <v>100</v>
      </c>
    </row>
    <row r="62" spans="1:4" x14ac:dyDescent="0.2">
      <c r="A62" t="s">
        <v>656</v>
      </c>
      <c r="B62" t="s">
        <v>657</v>
      </c>
      <c r="C62" t="s">
        <v>658</v>
      </c>
      <c r="D62" t="s">
        <v>659</v>
      </c>
    </row>
    <row r="63" spans="1:4" x14ac:dyDescent="0.2">
      <c r="A63" t="s">
        <v>660</v>
      </c>
      <c r="B63" t="s">
        <v>661</v>
      </c>
      <c r="C63" t="s">
        <v>662</v>
      </c>
      <c r="D63" t="s">
        <v>663</v>
      </c>
    </row>
    <row r="65" spans="1:2" ht="19" x14ac:dyDescent="0.25">
      <c r="A65" s="4" t="s">
        <v>664</v>
      </c>
    </row>
    <row r="66" spans="1:2" x14ac:dyDescent="0.2">
      <c r="A66" t="s">
        <v>665</v>
      </c>
      <c r="B66" t="str">
        <f ca="1">IF(COUNTIF('17_Checks'!D:D,"FAIL")=0,"HEALTHY","REVIEW REQUIRED")</f>
        <v>HEALTHY</v>
      </c>
    </row>
    <row r="67" spans="1:2" x14ac:dyDescent="0.2">
      <c r="A67" t="s">
        <v>666</v>
      </c>
      <c r="B67">
        <f ca="1">COUNTIF('17_Checks'!D:D,"FAIL")</f>
        <v>0</v>
      </c>
    </row>
    <row r="69" spans="1:2" x14ac:dyDescent="0.2">
      <c r="A69" s="18" t="s">
        <v>358</v>
      </c>
    </row>
    <row r="70" spans="1:2" x14ac:dyDescent="0.2">
      <c r="A70" s="19" t="s">
        <v>359</v>
      </c>
    </row>
    <row r="71" spans="1:2" x14ac:dyDescent="0.2">
      <c r="A71" s="20" t="s">
        <v>667</v>
      </c>
    </row>
    <row r="72" spans="1:2" x14ac:dyDescent="0.2">
      <c r="A72" t="s">
        <v>668</v>
      </c>
    </row>
    <row r="73" spans="1:2" x14ac:dyDescent="0.2">
      <c r="A73" t="s">
        <v>362</v>
      </c>
    </row>
    <row r="74" spans="1:2" x14ac:dyDescent="0.2">
      <c r="A74" t="s">
        <v>669</v>
      </c>
    </row>
    <row r="75" spans="1:2" x14ac:dyDescent="0.2">
      <c r="A75" t="s">
        <v>670</v>
      </c>
    </row>
    <row r="76" spans="1:2" x14ac:dyDescent="0.2">
      <c r="A76" t="s">
        <v>671</v>
      </c>
    </row>
    <row r="77" spans="1:2" x14ac:dyDescent="0.2">
      <c r="A77" t="s">
        <v>672</v>
      </c>
    </row>
    <row r="78" spans="1:2" x14ac:dyDescent="0.2">
      <c r="A78" t="s">
        <v>673</v>
      </c>
    </row>
    <row r="79" spans="1:2" x14ac:dyDescent="0.2">
      <c r="A79" t="s">
        <v>674</v>
      </c>
    </row>
    <row r="81" spans="1:1" x14ac:dyDescent="0.2">
      <c r="A81" s="20" t="s">
        <v>675</v>
      </c>
    </row>
    <row r="82" spans="1:1" x14ac:dyDescent="0.2">
      <c r="A82" t="s">
        <v>676</v>
      </c>
    </row>
    <row r="83" spans="1:1" x14ac:dyDescent="0.2">
      <c r="A83" t="s">
        <v>362</v>
      </c>
    </row>
    <row r="84" spans="1:1" x14ac:dyDescent="0.2">
      <c r="A84" t="s">
        <v>677</v>
      </c>
    </row>
    <row r="85" spans="1:1" x14ac:dyDescent="0.2">
      <c r="A85" t="s">
        <v>678</v>
      </c>
    </row>
    <row r="86" spans="1:1" x14ac:dyDescent="0.2">
      <c r="A86" t="s">
        <v>679</v>
      </c>
    </row>
    <row r="87" spans="1:1" x14ac:dyDescent="0.2">
      <c r="A87" t="s">
        <v>680</v>
      </c>
    </row>
    <row r="88" spans="1:1" x14ac:dyDescent="0.2">
      <c r="A88" t="s">
        <v>681</v>
      </c>
    </row>
    <row r="89" spans="1:1" x14ac:dyDescent="0.2">
      <c r="A89" t="s">
        <v>682</v>
      </c>
    </row>
    <row r="91" spans="1:1" x14ac:dyDescent="0.2">
      <c r="A91" s="20" t="s">
        <v>683</v>
      </c>
    </row>
    <row r="92" spans="1:1" x14ac:dyDescent="0.2">
      <c r="A92" t="s">
        <v>684</v>
      </c>
    </row>
    <row r="93" spans="1:1" x14ac:dyDescent="0.2">
      <c r="A93" t="s">
        <v>362</v>
      </c>
    </row>
    <row r="94" spans="1:1" x14ac:dyDescent="0.2">
      <c r="A94" t="s">
        <v>685</v>
      </c>
    </row>
    <row r="95" spans="1:1" x14ac:dyDescent="0.2">
      <c r="A95" t="s">
        <v>686</v>
      </c>
    </row>
    <row r="96" spans="1:1" x14ac:dyDescent="0.2">
      <c r="A96" t="s">
        <v>687</v>
      </c>
    </row>
    <row r="97" spans="1:1" x14ac:dyDescent="0.2">
      <c r="A97" t="s">
        <v>688</v>
      </c>
    </row>
    <row r="98" spans="1:1" x14ac:dyDescent="0.2">
      <c r="A98" t="s">
        <v>689</v>
      </c>
    </row>
    <row r="99" spans="1:1" x14ac:dyDescent="0.2">
      <c r="A99" t="s">
        <v>690</v>
      </c>
    </row>
    <row r="101" spans="1:1" x14ac:dyDescent="0.2">
      <c r="A101" s="20" t="s">
        <v>691</v>
      </c>
    </row>
    <row r="102" spans="1:1" x14ac:dyDescent="0.2">
      <c r="A102" t="s">
        <v>692</v>
      </c>
    </row>
    <row r="103" spans="1:1" x14ac:dyDescent="0.2">
      <c r="A103" t="s">
        <v>362</v>
      </c>
    </row>
    <row r="104" spans="1:1" x14ac:dyDescent="0.2">
      <c r="A104" t="s">
        <v>693</v>
      </c>
    </row>
    <row r="105" spans="1:1" x14ac:dyDescent="0.2">
      <c r="A105" t="s">
        <v>694</v>
      </c>
    </row>
    <row r="106" spans="1:1" x14ac:dyDescent="0.2">
      <c r="A106" t="s">
        <v>695</v>
      </c>
    </row>
    <row r="107" spans="1:1" x14ac:dyDescent="0.2">
      <c r="A107" t="s">
        <v>696</v>
      </c>
    </row>
    <row r="108" spans="1:1" x14ac:dyDescent="0.2">
      <c r="A108" t="s">
        <v>697</v>
      </c>
    </row>
    <row r="109" spans="1:1" x14ac:dyDescent="0.2">
      <c r="A109" t="s">
        <v>698</v>
      </c>
    </row>
  </sheetData>
  <mergeCells count="17">
    <mergeCell ref="A3:B3"/>
    <mergeCell ref="B54:D54"/>
    <mergeCell ref="B56:D56"/>
    <mergeCell ref="B36:C36"/>
    <mergeCell ref="B52:D52"/>
    <mergeCell ref="B53:D53"/>
    <mergeCell ref="B26:C26"/>
    <mergeCell ref="B27:C27"/>
    <mergeCell ref="B55:D55"/>
    <mergeCell ref="A4:B4"/>
    <mergeCell ref="B39:C39"/>
    <mergeCell ref="B24:C24"/>
    <mergeCell ref="B38:C38"/>
    <mergeCell ref="B40:C40"/>
    <mergeCell ref="B25:C25"/>
    <mergeCell ref="B37:C37"/>
    <mergeCell ref="B28:C28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33"/>
  <sheetViews>
    <sheetView zoomScale="120" zoomScaleNormal="120" workbookViewId="0">
      <selection activeCell="G25" sqref="G25"/>
    </sheetView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699</v>
      </c>
    </row>
    <row r="3" spans="1:4" x14ac:dyDescent="0.2">
      <c r="A3" s="36" t="s">
        <v>700</v>
      </c>
      <c r="B3" s="34"/>
      <c r="C3" s="34"/>
      <c r="D3" s="35"/>
    </row>
    <row r="4" spans="1:4" ht="330" customHeight="1" x14ac:dyDescent="0.2">
      <c r="A4" s="33" t="s">
        <v>701</v>
      </c>
      <c r="B4" s="34"/>
      <c r="C4" s="34"/>
      <c r="D4" s="35"/>
    </row>
    <row r="6" spans="1:4" x14ac:dyDescent="0.2">
      <c r="A6" s="6" t="s">
        <v>699</v>
      </c>
    </row>
    <row r="7" spans="1:4" ht="45" customHeight="1" x14ac:dyDescent="0.2">
      <c r="A7" s="7" t="s">
        <v>46</v>
      </c>
      <c r="B7" s="31" t="s">
        <v>702</v>
      </c>
      <c r="C7" s="32"/>
      <c r="D7" s="32"/>
    </row>
    <row r="8" spans="1:4" ht="45" customHeight="1" x14ac:dyDescent="0.2">
      <c r="A8" s="7" t="s">
        <v>48</v>
      </c>
      <c r="B8" s="31" t="s">
        <v>703</v>
      </c>
      <c r="C8" s="32"/>
      <c r="D8" s="32"/>
    </row>
    <row r="9" spans="1:4" ht="105" customHeight="1" x14ac:dyDescent="0.2">
      <c r="A9" s="7" t="s">
        <v>50</v>
      </c>
      <c r="B9" s="31" t="s">
        <v>704</v>
      </c>
      <c r="C9" s="32"/>
      <c r="D9" s="32"/>
    </row>
    <row r="10" spans="1:4" ht="30" customHeight="1" x14ac:dyDescent="0.2">
      <c r="A10" s="7" t="s">
        <v>52</v>
      </c>
      <c r="B10" s="31" t="s">
        <v>705</v>
      </c>
      <c r="C10" s="32"/>
      <c r="D10" s="32"/>
    </row>
    <row r="11" spans="1:4" ht="30" customHeight="1" x14ac:dyDescent="0.2">
      <c r="A11" s="7" t="s">
        <v>54</v>
      </c>
      <c r="B11" s="31" t="s">
        <v>706</v>
      </c>
      <c r="C11" s="32"/>
      <c r="D11" s="32"/>
    </row>
    <row r="12" spans="1:4" x14ac:dyDescent="0.2">
      <c r="A12" s="9" t="s">
        <v>707</v>
      </c>
      <c r="B12" s="9" t="s">
        <v>708</v>
      </c>
      <c r="C12" s="9" t="s">
        <v>59</v>
      </c>
      <c r="D12" s="9" t="s">
        <v>631</v>
      </c>
    </row>
    <row r="13" spans="1:4" x14ac:dyDescent="0.2">
      <c r="A13" t="s">
        <v>709</v>
      </c>
      <c r="B13" t="s">
        <v>710</v>
      </c>
      <c r="C13" t="s">
        <v>711</v>
      </c>
      <c r="D13" t="str">
        <f>IF(AND(Discount_Rate&gt;=0,Discount_Rate&lt;=0.15),"PASS","FAIL")</f>
        <v>PASS</v>
      </c>
    </row>
    <row r="14" spans="1:4" x14ac:dyDescent="0.2">
      <c r="A14" t="s">
        <v>712</v>
      </c>
      <c r="B14" t="s">
        <v>710</v>
      </c>
      <c r="C14" t="s">
        <v>713</v>
      </c>
      <c r="D14" t="str">
        <f>IF(AND(Season_Length&gt;=60,Season_Length&lt;=150),"PASS","FAIL")</f>
        <v>PASS</v>
      </c>
    </row>
    <row r="15" spans="1:4" x14ac:dyDescent="0.2">
      <c r="A15" t="s">
        <v>714</v>
      </c>
      <c r="B15" t="s">
        <v>710</v>
      </c>
      <c r="C15" t="s">
        <v>715</v>
      </c>
      <c r="D15" t="str">
        <f>IF(AND(Projection_Years&gt;=1,Projection_Years&lt;=10),"PASS","FAIL")</f>
        <v>PASS</v>
      </c>
    </row>
    <row r="16" spans="1:4" x14ac:dyDescent="0.2">
      <c r="A16" t="s">
        <v>716</v>
      </c>
      <c r="B16" t="s">
        <v>710</v>
      </c>
      <c r="C16" t="s">
        <v>717</v>
      </c>
      <c r="D16" t="str">
        <f>IF(Value_Per_M3&gt;0,"PASS","FAIL")</f>
        <v>PASS</v>
      </c>
    </row>
    <row r="17" spans="1:4" x14ac:dyDescent="0.2">
      <c r="A17" t="s">
        <v>718</v>
      </c>
      <c r="B17" t="s">
        <v>719</v>
      </c>
      <c r="C17" t="s">
        <v>720</v>
      </c>
      <c r="D17" t="str">
        <f>IF(COUNTIF(List_TestingOptions,Testing_Option)=1,"PASS","FAIL")</f>
        <v>PASS</v>
      </c>
    </row>
    <row r="18" spans="1:4" x14ac:dyDescent="0.2">
      <c r="A18" t="s">
        <v>721</v>
      </c>
      <c r="B18" t="s">
        <v>719</v>
      </c>
      <c r="C18" t="s">
        <v>722</v>
      </c>
      <c r="D18" t="str">
        <f>IF(COUNTIF(List_Scenarios,Scenario_Select)=1,"PASS","FAIL")</f>
        <v>PASS</v>
      </c>
    </row>
    <row r="19" spans="1:4" x14ac:dyDescent="0.2">
      <c r="A19" t="s">
        <v>723</v>
      </c>
      <c r="B19" t="s">
        <v>724</v>
      </c>
      <c r="C19" t="s">
        <v>725</v>
      </c>
      <c r="D19" t="str">
        <f ca="1">IF(AND(NPV_Total&gt;-1000000,NPV_Total&lt;10000000),"PASS","FAIL")</f>
        <v>PASS</v>
      </c>
    </row>
    <row r="20" spans="1:4" x14ac:dyDescent="0.2">
      <c r="A20" t="s">
        <v>726</v>
      </c>
      <c r="B20" t="s">
        <v>724</v>
      </c>
      <c r="C20" t="s">
        <v>727</v>
      </c>
      <c r="D20" t="str">
        <f>IF(Testing_Cost&gt;0,"PASS","FAIL")</f>
        <v>PASS</v>
      </c>
    </row>
    <row r="21" spans="1:4" x14ac:dyDescent="0.2">
      <c r="A21" t="s">
        <v>728</v>
      </c>
      <c r="B21" t="s">
        <v>724</v>
      </c>
      <c r="C21" t="s">
        <v>729</v>
      </c>
      <c r="D21" t="str">
        <f ca="1">IF(Gross_Value&gt;=0,"PASS","FAIL")</f>
        <v>PASS</v>
      </c>
    </row>
    <row r="22" spans="1:4" x14ac:dyDescent="0.2">
      <c r="A22" t="s">
        <v>730</v>
      </c>
      <c r="B22" t="s">
        <v>731</v>
      </c>
      <c r="C22" t="s">
        <v>732</v>
      </c>
      <c r="D22" t="str">
        <f>IF(ISERROR(Testing_Option),"FAIL","PASS")</f>
        <v>PASS</v>
      </c>
    </row>
    <row r="23" spans="1:4" x14ac:dyDescent="0.2">
      <c r="A23" t="s">
        <v>733</v>
      </c>
      <c r="B23" t="s">
        <v>710</v>
      </c>
      <c r="C23" t="s">
        <v>734</v>
      </c>
      <c r="D23" t="str">
        <f>IF(AND(Initial_NAFC&gt;=40,Initial_NAFC&lt;=100),"PASS","FAIL")</f>
        <v>PASS</v>
      </c>
    </row>
    <row r="24" spans="1:4" x14ac:dyDescent="0.2">
      <c r="A24" t="s">
        <v>735</v>
      </c>
      <c r="B24" t="s">
        <v>719</v>
      </c>
      <c r="C24" t="s">
        <v>736</v>
      </c>
      <c r="D24" t="str">
        <f>IF(Target_NAFC&lt;Initial_NAFC,"PASS","FAIL")</f>
        <v>PASS</v>
      </c>
    </row>
    <row r="25" spans="1:4" x14ac:dyDescent="0.2">
      <c r="A25" t="s">
        <v>737</v>
      </c>
      <c r="B25" t="s">
        <v>724</v>
      </c>
      <c r="C25" t="s">
        <v>738</v>
      </c>
      <c r="D25" t="str">
        <f ca="1">IF(Days_to_Compliance&lt;=Season_Length,"PASS","FAIL")</f>
        <v>PASS</v>
      </c>
    </row>
    <row r="26" spans="1:4" x14ac:dyDescent="0.2">
      <c r="A26" t="s">
        <v>739</v>
      </c>
      <c r="B26" t="s">
        <v>710</v>
      </c>
      <c r="C26" t="s">
        <v>740</v>
      </c>
      <c r="D26" t="str">
        <f ca="1">IF(AND(Eff_Rapid_Rate&gt;0,Eff_Slow_Rate&gt;0),"PASS","FAIL")</f>
        <v>PASS</v>
      </c>
    </row>
    <row r="29" spans="1:4" ht="19" x14ac:dyDescent="0.25">
      <c r="A29" s="4" t="s">
        <v>741</v>
      </c>
    </row>
    <row r="30" spans="1:4" x14ac:dyDescent="0.2">
      <c r="A30" t="s">
        <v>742</v>
      </c>
      <c r="B30">
        <f>COUNTA(tbl_Checks[Check_ID])</f>
        <v>14</v>
      </c>
    </row>
    <row r="31" spans="1:4" x14ac:dyDescent="0.2">
      <c r="A31" t="s">
        <v>743</v>
      </c>
      <c r="B31">
        <f ca="1">COUNTIF(tbl_Checks[Status],"PASS")</f>
        <v>14</v>
      </c>
    </row>
    <row r="32" spans="1:4" x14ac:dyDescent="0.2">
      <c r="A32" t="s">
        <v>744</v>
      </c>
      <c r="B32">
        <f ca="1">COUNTIF(tbl_Checks[Status],"FAIL")</f>
        <v>0</v>
      </c>
    </row>
    <row r="33" spans="1:2" x14ac:dyDescent="0.2">
      <c r="A33" t="s">
        <v>745</v>
      </c>
      <c r="B33" t="str">
        <f ca="1">IF(COUNTIF(tbl_Checks[Status],"FAIL")=0,"HEALTHY","REVIEW REQUIRED")</f>
        <v>HEALTHY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97</vt:i4>
      </vt:variant>
    </vt:vector>
  </HeadingPairs>
  <TitlesOfParts>
    <vt:vector size="115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  <vt:lpstr>Year1_Gross_Value</vt:lpstr>
      <vt:lpstr>Year1_Net_Value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2026-01-30T16:16:34Z</dcterms:created>
  <dcterms:modified xsi:type="dcterms:W3CDTF">2026-01-30T18:39:24Z</dcterms:modified>
</cp:coreProperties>
</file>