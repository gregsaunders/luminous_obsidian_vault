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greg/Luminous Dropbox/Obsidian/utils/financial_modeling/"/>
    </mc:Choice>
  </mc:AlternateContent>
  <xr:revisionPtr revIDLastSave="0" documentId="13_ncr:1_{4D3E1A8D-A728-8B43-A6DB-A455B47F6875}" xr6:coauthVersionLast="47" xr6:coauthVersionMax="47" xr10:uidLastSave="{00000000-0000-0000-0000-000000000000}"/>
  <bookViews>
    <workbookView xWindow="0" yWindow="680" windowWidth="30240" windowHeight="18960" firstSheet="11" activeTab="14" xr2:uid="{00000000-000D-0000-FFFF-FFFF00000000}"/>
  </bookViews>
  <sheets>
    <sheet name="0_Cover" sheetId="1" r:id="rId1"/>
    <sheet name="1_TOC" sheetId="2" r:id="rId2"/>
    <sheet name="3_Instructions" sheetId="3" r:id="rId3"/>
    <sheet name="2_InputMap" sheetId="4" r:id="rId4"/>
    <sheet name="4_Assumptions" sheetId="5" r:id="rId5"/>
    <sheet name="5_EnvironmentalDrivers" sheetId="6" r:id="rId6"/>
    <sheet name="6_Scenarios" sheetId="7" r:id="rId7"/>
    <sheet name="7_ServiceModels" sheetId="8" r:id="rId8"/>
    <sheet name="8_Calc_Timeline" sheetId="9" r:id="rId9"/>
    <sheet name="9_Calc_Kinetics" sheetId="10" r:id="rId10"/>
    <sheet name="10_Calc_Stochastic" sheetId="11" r:id="rId11"/>
    <sheet name="11_Calc_Compliance" sheetId="12" r:id="rId12"/>
    <sheet name="12_Calc_Value" sheetId="13" r:id="rId13"/>
    <sheet name="13_Calc_Costs" sheetId="14" r:id="rId14"/>
    <sheet name="14_Calc_Sim" sheetId="15" r:id="rId15"/>
    <sheet name="15_PL_Monthly" sheetId="16" r:id="rId16"/>
    <sheet name="16_PL_Annual" sheetId="17" r:id="rId17"/>
    <sheet name="17_CashFlow" sheetId="18" r:id="rId18"/>
    <sheet name="18_UnitEconomics" sheetId="19" r:id="rId19"/>
    <sheet name="19_Sensitivity" sheetId="20" r:id="rId20"/>
    <sheet name="20_Dashboard" sheetId="21" r:id="rId21"/>
    <sheet name="21_Checks" sheetId="22" r:id="rId22"/>
  </sheets>
  <definedNames>
    <definedName name="AdjustedValue">'12_Calc_Value'!$E$21</definedName>
    <definedName name="Annual_Throughput">'4_Assumptions'!$B$39</definedName>
    <definedName name="AnnualThroughput_M3">'4_Assumptions'!$B$39</definedName>
    <definedName name="Base_Year">'1_TOC'!$B$14</definedName>
    <definedName name="Beta_Efficiency_Gain_Alpha">'7_ServiceModels'!$B$23</definedName>
    <definedName name="Beta_Efficiency_Gain_Beta">'7_ServiceModels'!$C$23</definedName>
    <definedName name="Beta_Efficiency_Gain_Max">'7_ServiceModels'!$E$23</definedName>
    <definedName name="Beta_Efficiency_Gain_Min">'7_ServiceModels'!$D$23</definedName>
    <definedName name="Bioavail_Modifier">'9_Calc_Kinetics'!$C$12</definedName>
    <definedName name="Circulation_Cycles">'8_Calc_Timeline'!$C$28</definedName>
    <definedName name="Compliance_Status">'8_Calc_Timeline'!$C$30</definedName>
    <definedName name="ComplianceGate">'11_Calc_Compliance'!$C$24</definedName>
    <definedName name="Day_80_Survival">'4_Assumptions'!$B$125</definedName>
    <definedName name="Day_LC50">'4_Assumptions'!$B$124</definedName>
    <definedName name="Day_Nontoxic">'4_Assumptions'!$B$126</definedName>
    <definedName name="Days_to_Compliance">'8_Calc_Timeline'!$C$27</definedName>
    <definedName name="Discount_Rate">'1_TOC'!$B$12</definedName>
    <definedName name="DO_Modifier">'9_Calc_Kinetics'!$C$10</definedName>
    <definedName name="DowntimeCostPerDay">'4_Assumptions'!$B$52</definedName>
    <definedName name="Eff_Rapid_Rate">'8_Calc_Timeline'!$C$24</definedName>
    <definedName name="Eff_Slow_Rate">'8_Calc_Timeline'!$C$25</definedName>
    <definedName name="Effective_Rate">'9_Calc_Kinetics'!$C$16</definedName>
    <definedName name="Env_Bioavail_Index_Aug">'5_EnvironmentalDrivers'!$F$12</definedName>
    <definedName name="Env_Bioavail_Index_Jul">'5_EnvironmentalDrivers'!$E$12</definedName>
    <definedName name="Env_Bioavail_Index_Jun">'5_EnvironmentalDrivers'!$D$12</definedName>
    <definedName name="Env_Bioavail_Index_May">'5_EnvironmentalDrivers'!$C$12</definedName>
    <definedName name="Env_Bioavail_Index_Sep">'5_EnvironmentalDrivers'!$G$12</definedName>
    <definedName name="Env_DO_Typical_Aug">'5_EnvironmentalDrivers'!$F$10</definedName>
    <definedName name="Env_DO_Typical_Jul">'5_EnvironmentalDrivers'!$E$10</definedName>
    <definedName name="Env_DO_Typical_Jun">'5_EnvironmentalDrivers'!$D$10</definedName>
    <definedName name="Env_DO_Typical_May">'5_EnvironmentalDrivers'!$C$10</definedName>
    <definedName name="Env_DO_Typical_Sep">'5_EnvironmentalDrivers'!$G$10</definedName>
    <definedName name="Env_Nutrient_Index_Aug">'5_EnvironmentalDrivers'!$F$11</definedName>
    <definedName name="Env_Nutrient_Index_Jul">'5_EnvironmentalDrivers'!$E$11</definedName>
    <definedName name="Env_Nutrient_Index_Jun">'5_EnvironmentalDrivers'!$D$11</definedName>
    <definedName name="Env_Nutrient_Index_May">'5_EnvironmentalDrivers'!$C$11</definedName>
    <definedName name="Env_Nutrient_Index_Sep">'5_EnvironmentalDrivers'!$G$11</definedName>
    <definedName name="Env_Temp_Water_Aug">'5_EnvironmentalDrivers'!$F$8</definedName>
    <definedName name="Env_Temp_Water_Jul">'5_EnvironmentalDrivers'!$E$8</definedName>
    <definedName name="Env_Temp_Water_Jun">'5_EnvironmentalDrivers'!$D$8</definedName>
    <definedName name="Env_Temp_Water_May">'5_EnvironmentalDrivers'!$C$8</definedName>
    <definedName name="Env_Temp_Water_Sep">'5_EnvironmentalDrivers'!$G$8</definedName>
    <definedName name="Env_UV_Relative_Aug">'5_EnvironmentalDrivers'!$F$9</definedName>
    <definedName name="Env_UV_Relative_Jul">'5_EnvironmentalDrivers'!$E$9</definedName>
    <definedName name="Env_UV_Relative_Jun">'5_EnvironmentalDrivers'!$D$9</definedName>
    <definedName name="Env_UV_Relative_May">'5_EnvironmentalDrivers'!$C$9</definedName>
    <definedName name="Env_UV_Relative_Sep">'5_EnvironmentalDrivers'!$G$9</definedName>
    <definedName name="Gate_Chloride">'11_Calc_Compliance'!$D$9</definedName>
    <definedName name="Gate_DO">'11_Calc_Compliance'!$D$11</definedName>
    <definedName name="Gate_Foam">'11_Calc_Compliance'!$D$20</definedName>
    <definedName name="Gate_NAFC">'11_Calc_Compliance'!$D$16</definedName>
    <definedName name="Gate_Odor">'11_Calc_Compliance'!$D$19</definedName>
    <definedName name="Gate_Oil_Sheen">'11_Calc_Compliance'!$D$18</definedName>
    <definedName name="Gate_pH_High">'11_Calc_Compliance'!$D$13</definedName>
    <definedName name="Gate_pH_Low">'11_Calc_Compliance'!$D$12</definedName>
    <definedName name="Gate_S1">'4_Assumptions'!$B$87:$B$89</definedName>
    <definedName name="Gate_S2">'4_Assumptions'!$C$87:$C$89</definedName>
    <definedName name="Gate_S3">'4_Assumptions'!$D$87:$D$89</definedName>
    <definedName name="Gate_S4">'4_Assumptions'!$E$87:$E$89</definedName>
    <definedName name="Gate_SAR">'11_Calc_Compliance'!$D$10</definedName>
    <definedName name="Gate_Sulfate">'11_Calc_Compliance'!$D$14</definedName>
    <definedName name="Gate_Temperature">'11_Calc_Compliance'!$D$15</definedName>
    <definedName name="Gate_Toxicity">'11_Calc_Compliance'!$D$8</definedName>
    <definedName name="Gate_Turbidity">'11_Calc_Compliance'!$D$17</definedName>
    <definedName name="Gross_Value">'12_Calc_Value'!$E$18</definedName>
    <definedName name="Initial_NAFC">'4_Assumptions'!$B$108</definedName>
    <definedName name="Ionic_Chloride_Max">'5_EnvironmentalDrivers'!$E$17</definedName>
    <definedName name="Ionic_Chloride_Min">'5_EnvironmentalDrivers'!$C$17</definedName>
    <definedName name="Ionic_Chloride_Mode">'5_EnvironmentalDrivers'!$D$17</definedName>
    <definedName name="Ionic_Chloride_Threshold">'5_EnvironmentalDrivers'!$F$17</definedName>
    <definedName name="Ionic_DO_Compliance_Max">'5_EnvironmentalDrivers'!$E$20</definedName>
    <definedName name="Ionic_DO_Compliance_Min">'5_EnvironmentalDrivers'!$C$20</definedName>
    <definedName name="Ionic_DO_Compliance_Mode">'5_EnvironmentalDrivers'!$D$20</definedName>
    <definedName name="Ionic_DO_Compliance_Threshold">'5_EnvironmentalDrivers'!$F$20</definedName>
    <definedName name="Ionic_SAR_Max">'5_EnvironmentalDrivers'!$E$18</definedName>
    <definedName name="Ionic_SAR_Min">'5_EnvironmentalDrivers'!$C$18</definedName>
    <definedName name="Ionic_SAR_Mode">'5_EnvironmentalDrivers'!$D$18</definedName>
    <definedName name="Ionic_SAR_Threshold">'5_EnvironmentalDrivers'!$F$18</definedName>
    <definedName name="Ionic_Sulfate_Max">'5_EnvironmentalDrivers'!$E$19</definedName>
    <definedName name="Ionic_Sulfate_Min">'5_EnvironmentalDrivers'!$C$19</definedName>
    <definedName name="Ionic_Sulfate_Mode">'5_EnvironmentalDrivers'!$D$19</definedName>
    <definedName name="Ionic_Sulfate_Threshold">'5_EnvironmentalDrivers'!$F$19</definedName>
    <definedName name="LaborPerDay">'4_Assumptions'!$B$50</definedName>
    <definedName name="LearningCurve_Mult">'4_Assumptions'!$B$62:$B$66</definedName>
    <definedName name="List_Scenarios">'4_Assumptions'!$B$94:$B$96</definedName>
    <definedName name="List_TestingOptions">'4_Assumptions'!$A$94:$A$96</definedName>
    <definedName name="MC_Anchor">'4_Assumptions'!$B$99</definedName>
    <definedName name="MC_Expected_Days">'14_Calc_Sim'!$B$1024</definedName>
    <definedName name="MC_Expected_NPV">'14_Calc_Sim'!$B$1016</definedName>
    <definedName name="MC_P10">'14_Calc_Sim'!$B$1017</definedName>
    <definedName name="MC_P10_Days">'14_Calc_Sim'!$B$1025</definedName>
    <definedName name="MC_P50">'14_Calc_Sim'!$B$1018</definedName>
    <definedName name="MC_P50_Days">'14_Calc_Sim'!$B$1026</definedName>
    <definedName name="MC_P90">'14_Calc_Sim'!$B$1019</definedName>
    <definedName name="MC_P90_Days">'14_Calc_Sim'!$B$1027</definedName>
    <definedName name="MC_Prob_Achievable">'14_Calc_Sim'!$B$1028</definedName>
    <definedName name="MC_Prob_Positive">'14_Calc_Sim'!$B$1021</definedName>
    <definedName name="MC_StdDev">'14_Calc_Sim'!$B$1020</definedName>
    <definedName name="NAFC_After_Rapid">'8_Calc_Timeline'!$C$26</definedName>
    <definedName name="NPV_Total">'16_PL_Annual'!$B$21</definedName>
    <definedName name="Nutrient_Modifier">'9_Calc_Kinetics'!$C$11</definedName>
    <definedName name="Projection_Years">'1_TOC'!$B$13</definedName>
    <definedName name="Q10_Factor">'9_Calc_Kinetics'!$C$8</definedName>
    <definedName name="Rapid_Phase_Duration">'4_Assumptions'!$B$112</definedName>
    <definedName name="Rapid_Phase_Rate">'4_Assumptions'!$B$110</definedName>
    <definedName name="Recirculation_Cycle">'4_Assumptions'!$B$113</definedName>
    <definedName name="RegulatoryPenalty">'4_Assumptions'!$B$51</definedName>
    <definedName name="S1_Value">'12_Calc_Value'!$E$13</definedName>
    <definedName name="S2_Value">'12_Calc_Value'!$E$14</definedName>
    <definedName name="S3_Value">'12_Calc_Value'!$E$15</definedName>
    <definedName name="S4_Value">'12_Calc_Value'!$E$16</definedName>
    <definedName name="Scenario_BaseValues">'6_Scenarios'!$C$10:$C$13</definedName>
    <definedName name="Scenario_Select">'1_TOC'!$B$11</definedName>
    <definedName name="Season_End_Day">'4_Assumptions'!$B$13</definedName>
    <definedName name="Season_End_Month">'4_Assumptions'!$B$12</definedName>
    <definedName name="Season_Length">'4_Assumptions'!$B$14</definedName>
    <definedName name="Season_Start_Day">'4_Assumptions'!$B$11</definedName>
    <definedName name="Season_Start_Month">'4_Assumptions'!$B$10</definedName>
    <definedName name="Slow_Phase_Rate">'4_Assumptions'!$B$111</definedName>
    <definedName name="Stoch_Efficiency">'10_Calc_Stochastic'!$C$17</definedName>
    <definedName name="Stoch_ExtValue">'10_Calc_Stochastic'!$C$15</definedName>
    <definedName name="Stoch_Interventions">'10_Calc_Stochastic'!$C$16</definedName>
    <definedName name="Stoch_SeasonExt">'10_Calc_Stochastic'!$C$14</definedName>
    <definedName name="Stoch_TreatmentRate">'10_Calc_Stochastic'!$C$18</definedName>
    <definedName name="System_Capacity">'4_Assumptions'!$B$114</definedName>
    <definedName name="Target_NAFC">'4_Assumptions'!$B$109</definedName>
    <definedName name="Testing_Cost">'13_Calc_Costs'!$C$19</definedName>
    <definedName name="Testing_Option">'1_TOC'!$B$10</definedName>
    <definedName name="TestOpt_Cost">'4_Assumptions'!$E$76:$E$78</definedName>
    <definedName name="TestOpt_Interval">'4_Assumptions'!$C$76:$C$78</definedName>
    <definedName name="TestOpt_Latency">'4_Assumptions'!$F$76:$F$78</definedName>
    <definedName name="TestOpt_Method">'4_Assumptions'!$B$76:$B$78</definedName>
    <definedName name="TestOpt_Option">'4_Assumptions'!$A$76:$A$78</definedName>
    <definedName name="TestOpt_Points">'4_Assumptions'!$D$76:$D$78</definedName>
    <definedName name="Timeline_DiscountFactor">'8_Calc_Timeline'!$D$13:$D$18</definedName>
    <definedName name="Timeline_LearningMult">'8_Calc_Timeline'!$E$13:$E$18</definedName>
    <definedName name="Treatment_Cells">'4_Assumptions'!$B$38</definedName>
    <definedName name="Treatment_Days">'4_Assumptions'!$B$14</definedName>
    <definedName name="Treatment_Efficiency">'8_Calc_Timeline'!$C$29</definedName>
    <definedName name="TreatmentCells">'4_Assumptions'!$B$38</definedName>
    <definedName name="Tri_Extension_Value_Per_Day_Max">'7_ServiceModels'!$D$11</definedName>
    <definedName name="Tri_Extension_Value_Per_Day_Min">'7_ServiceModels'!$B$11</definedName>
    <definedName name="Tri_Extension_Value_Per_Day_Mode">'7_ServiceModels'!$C$11</definedName>
    <definedName name="Tri_Interventions_Avoided_Max">'7_ServiceModels'!$D$12</definedName>
    <definedName name="Tri_Interventions_Avoided_Min">'7_ServiceModels'!$B$12</definedName>
    <definedName name="Tri_Interventions_Avoided_Mode">'7_ServiceModels'!$C$12</definedName>
    <definedName name="Tri_Season_Extension_Days_Max">'7_ServiceModels'!$D$10</definedName>
    <definedName name="Tri_Season_Extension_Days_Min">'7_ServiceModels'!$B$10</definedName>
    <definedName name="Tri_Season_Extension_Days_Mode">'7_ServiceModels'!$C$10</definedName>
    <definedName name="Tri_Treatment_Rate_Factor_Max">'7_ServiceModels'!$D$13</definedName>
    <definedName name="Tri_Treatment_Rate_Factor_Min">'7_ServiceModels'!$B$13</definedName>
    <definedName name="Tri_Treatment_Rate_Factor_Mode">'7_ServiceModels'!$C$13</definedName>
    <definedName name="UV_Modifier">'9_Calc_Kinetics'!$C$9</definedName>
    <definedName name="Value_Per_M3">'4_Assumptions'!$B$40</definedName>
    <definedName name="ValuePer_M3">'4_Assumptions'!$B$40</definedName>
    <definedName name="Wetland_Area">'4_Assumptions'!$B$37</definedName>
    <definedName name="WetlandArea_Ha">'4_Assumptions'!$B$37</definedName>
    <definedName name="Year1_Gross_Value">'16_PL_Annual'!$F$13</definedName>
    <definedName name="Year1_Net_Value">'16_PL_Annual'!$H$13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22" l="1"/>
  <c r="D24" i="22"/>
  <c r="D23" i="22"/>
  <c r="D22" i="22"/>
  <c r="D18" i="22"/>
  <c r="D17" i="22"/>
  <c r="D16" i="22"/>
  <c r="D15" i="22"/>
  <c r="D14" i="22"/>
  <c r="D13" i="22"/>
  <c r="B44" i="21"/>
  <c r="C43" i="21"/>
  <c r="B43" i="21"/>
  <c r="C34" i="21"/>
  <c r="C33" i="21"/>
  <c r="C32" i="21"/>
  <c r="C31" i="21"/>
  <c r="B13" i="21"/>
  <c r="B25" i="19"/>
  <c r="B13" i="19"/>
  <c r="A17" i="18"/>
  <c r="A16" i="18"/>
  <c r="A15" i="18"/>
  <c r="A14" i="18"/>
  <c r="A13" i="18"/>
  <c r="A17" i="17"/>
  <c r="A16" i="17"/>
  <c r="A15" i="17"/>
  <c r="A14" i="17"/>
  <c r="I13" i="17"/>
  <c r="A13" i="17"/>
  <c r="B1028" i="15"/>
  <c r="B1027" i="15"/>
  <c r="B1026" i="15"/>
  <c r="B1025" i="15"/>
  <c r="B1024" i="15"/>
  <c r="B1021" i="15"/>
  <c r="B18" i="21" s="1"/>
  <c r="B1020" i="15"/>
  <c r="B1019" i="15"/>
  <c r="B17" i="21" s="1"/>
  <c r="B1018" i="15"/>
  <c r="B16" i="21" s="1"/>
  <c r="B1017" i="15"/>
  <c r="B15" i="21" s="1"/>
  <c r="B1016" i="15"/>
  <c r="C16" i="14"/>
  <c r="C15" i="14"/>
  <c r="C14" i="14"/>
  <c r="C17" i="14" s="1"/>
  <c r="C18" i="14" s="1"/>
  <c r="C19" i="14" s="1"/>
  <c r="C13" i="14"/>
  <c r="C16" i="13"/>
  <c r="B16" i="13"/>
  <c r="C15" i="13"/>
  <c r="B15" i="13"/>
  <c r="C14" i="13"/>
  <c r="B14" i="13"/>
  <c r="C13" i="13"/>
  <c r="B13" i="13"/>
  <c r="B24" i="12"/>
  <c r="D20" i="12"/>
  <c r="E20" i="12" s="1"/>
  <c r="D19" i="12"/>
  <c r="E19" i="12" s="1"/>
  <c r="E18" i="12"/>
  <c r="D18" i="12"/>
  <c r="D17" i="12"/>
  <c r="E17" i="12" s="1"/>
  <c r="D15" i="12"/>
  <c r="E15" i="12" s="1"/>
  <c r="D14" i="12"/>
  <c r="E14" i="12" s="1"/>
  <c r="D13" i="12"/>
  <c r="E13" i="12" s="1"/>
  <c r="D12" i="12"/>
  <c r="E12" i="12" s="1"/>
  <c r="D11" i="12"/>
  <c r="E11" i="12" s="1"/>
  <c r="D10" i="12"/>
  <c r="E10" i="12" s="1"/>
  <c r="D9" i="12"/>
  <c r="E9" i="12" s="1"/>
  <c r="D8" i="12"/>
  <c r="B18" i="11"/>
  <c r="C18" i="11" s="1"/>
  <c r="B17" i="11"/>
  <c r="C17" i="11" s="1"/>
  <c r="B16" i="11"/>
  <c r="C16" i="11" s="1"/>
  <c r="D14" i="13" s="1"/>
  <c r="B15" i="11"/>
  <c r="C15" i="11" s="1"/>
  <c r="B14" i="11"/>
  <c r="C14" i="11" s="1"/>
  <c r="D13" i="13" s="1"/>
  <c r="B16" i="10"/>
  <c r="C12" i="10"/>
  <c r="B12" i="10"/>
  <c r="C11" i="10"/>
  <c r="B11" i="10"/>
  <c r="C10" i="10"/>
  <c r="B10" i="10"/>
  <c r="C9" i="10"/>
  <c r="B9" i="10"/>
  <c r="C8" i="10"/>
  <c r="B8" i="10"/>
  <c r="C29" i="9"/>
  <c r="E18" i="9"/>
  <c r="D18" i="9"/>
  <c r="I17" i="17" s="1"/>
  <c r="C18" i="9"/>
  <c r="B18" i="9"/>
  <c r="E17" i="9"/>
  <c r="D17" i="9"/>
  <c r="I16" i="17" s="1"/>
  <c r="C17" i="9"/>
  <c r="B17" i="9"/>
  <c r="E16" i="9"/>
  <c r="D16" i="9"/>
  <c r="I15" i="17" s="1"/>
  <c r="C16" i="9"/>
  <c r="B16" i="9"/>
  <c r="E15" i="9"/>
  <c r="D15" i="9"/>
  <c r="I14" i="17" s="1"/>
  <c r="C15" i="9"/>
  <c r="B15" i="9"/>
  <c r="E14" i="9"/>
  <c r="D14" i="9"/>
  <c r="C14" i="9"/>
  <c r="B14" i="9"/>
  <c r="C13" i="9"/>
  <c r="B13" i="9"/>
  <c r="E89" i="5"/>
  <c r="D89" i="5"/>
  <c r="C89" i="5"/>
  <c r="B89" i="5"/>
  <c r="E88" i="5"/>
  <c r="D88" i="5"/>
  <c r="C88" i="5"/>
  <c r="B88" i="5"/>
  <c r="E87" i="5"/>
  <c r="D87" i="5"/>
  <c r="C87" i="5"/>
  <c r="B87" i="5"/>
  <c r="B28" i="4"/>
  <c r="B27" i="4"/>
  <c r="B26" i="4"/>
  <c r="B25" i="4"/>
  <c r="B24" i="4"/>
  <c r="B23" i="4"/>
  <c r="B22" i="4"/>
  <c r="B21" i="4"/>
  <c r="B20" i="4"/>
  <c r="B19" i="4"/>
  <c r="B18" i="4"/>
  <c r="B17" i="4"/>
  <c r="B16" i="4"/>
  <c r="B15" i="4"/>
  <c r="B14" i="4"/>
  <c r="B13" i="4"/>
  <c r="B11" i="4"/>
  <c r="B10" i="4"/>
  <c r="B9" i="4"/>
  <c r="B8" i="4"/>
  <c r="B7" i="4"/>
  <c r="B6" i="4"/>
  <c r="B5" i="4"/>
  <c r="B5" i="1"/>
  <c r="E14" i="13" l="1"/>
  <c r="B50" i="21"/>
  <c r="C50" i="21"/>
  <c r="C49" i="21"/>
  <c r="B49" i="21"/>
  <c r="C48" i="21"/>
  <c r="B48" i="21"/>
  <c r="G10" i="15"/>
  <c r="G16" i="17"/>
  <c r="G13" i="17"/>
  <c r="G14" i="17"/>
  <c r="G15" i="17"/>
  <c r="G17" i="17"/>
  <c r="B16" i="19"/>
  <c r="B20" i="19"/>
  <c r="B26" i="19"/>
  <c r="B20" i="21"/>
  <c r="D20" i="22"/>
  <c r="E8" i="12"/>
  <c r="C24" i="12"/>
  <c r="C24" i="9"/>
  <c r="C25" i="9"/>
  <c r="B30" i="4" s="1"/>
  <c r="D15" i="13"/>
  <c r="E15" i="13" s="1"/>
  <c r="D16" i="13"/>
  <c r="E16" i="13" s="1"/>
  <c r="B47" i="21"/>
  <c r="C47" i="21"/>
  <c r="E13" i="13"/>
  <c r="C16" i="10"/>
  <c r="C13" i="17" l="1"/>
  <c r="C15" i="17"/>
  <c r="C16" i="17"/>
  <c r="C17" i="17"/>
  <c r="B32" i="21"/>
  <c r="C14" i="17"/>
  <c r="D10" i="15"/>
  <c r="B20" i="13"/>
  <c r="C20" i="13" s="1"/>
  <c r="B19" i="21"/>
  <c r="D27" i="22"/>
  <c r="D24" i="12"/>
  <c r="C26" i="9"/>
  <c r="D26" i="22"/>
  <c r="B29" i="4"/>
  <c r="B33" i="21"/>
  <c r="D17" i="17"/>
  <c r="D16" i="17"/>
  <c r="D15" i="17"/>
  <c r="D13" i="17"/>
  <c r="D14" i="17"/>
  <c r="E10" i="15"/>
  <c r="B34" i="21"/>
  <c r="F10" i="15"/>
  <c r="E17" i="17"/>
  <c r="E16" i="17"/>
  <c r="E15" i="17"/>
  <c r="E14" i="17"/>
  <c r="E13" i="17"/>
  <c r="C10" i="15"/>
  <c r="E18" i="13"/>
  <c r="B31" i="21"/>
  <c r="B17" i="17"/>
  <c r="B16" i="17"/>
  <c r="B15" i="17"/>
  <c r="B14" i="17"/>
  <c r="B13" i="17"/>
  <c r="C17" i="10"/>
  <c r="B17" i="10"/>
  <c r="F15" i="17" l="1"/>
  <c r="H15" i="17" s="1"/>
  <c r="J15" i="17" s="1"/>
  <c r="B31" i="4"/>
  <c r="C27" i="9"/>
  <c r="H10" i="15"/>
  <c r="E21" i="13"/>
  <c r="B14" i="19"/>
  <c r="B18" i="19"/>
  <c r="D21" i="22"/>
  <c r="B15" i="18"/>
  <c r="F16" i="17"/>
  <c r="H16" i="17" s="1"/>
  <c r="F14" i="17"/>
  <c r="H14" i="17" s="1"/>
  <c r="F17" i="17"/>
  <c r="H17" i="17" s="1"/>
  <c r="F13" i="17"/>
  <c r="C30" i="9" l="1"/>
  <c r="C45" i="21" s="1"/>
  <c r="D16" i="12"/>
  <c r="I10" i="15"/>
  <c r="B45" i="21"/>
  <c r="D25" i="22"/>
  <c r="B32" i="4"/>
  <c r="C28" i="9"/>
  <c r="B15" i="19"/>
  <c r="B17" i="19"/>
  <c r="B19" i="19"/>
  <c r="B27" i="19"/>
  <c r="D28" i="22"/>
  <c r="B16" i="18"/>
  <c r="J16" i="17"/>
  <c r="B14" i="18"/>
  <c r="J14" i="17"/>
  <c r="B17" i="18"/>
  <c r="J17" i="17"/>
  <c r="B21" i="21"/>
  <c r="H13" i="17"/>
  <c r="B22" i="17"/>
  <c r="C25" i="12" l="1"/>
  <c r="C26" i="12"/>
  <c r="E16" i="12"/>
  <c r="B46" i="21"/>
  <c r="C46" i="21"/>
  <c r="J13" i="17"/>
  <c r="B23" i="17"/>
  <c r="B13" i="18"/>
  <c r="C13" i="18" s="1"/>
  <c r="C14" i="18" s="1"/>
  <c r="C15" i="18" s="1"/>
  <c r="C16" i="18" s="1"/>
  <c r="C17" i="18" s="1"/>
  <c r="B22" i="21"/>
  <c r="B21" i="17" l="1"/>
  <c r="D13" i="18"/>
  <c r="D14" i="18" s="1"/>
  <c r="D15" i="18" s="1"/>
  <c r="D16" i="18" s="1"/>
  <c r="D17" i="18" s="1"/>
  <c r="B21" i="19" l="1"/>
  <c r="E13" i="20"/>
  <c r="F13" i="20"/>
  <c r="E14" i="20"/>
  <c r="F14" i="20"/>
  <c r="E15" i="20"/>
  <c r="F15" i="20"/>
  <c r="E16" i="20"/>
  <c r="F16" i="20"/>
  <c r="B14" i="21"/>
  <c r="D19" i="22"/>
  <c r="B10" i="15"/>
  <c r="G15" i="20" l="1"/>
  <c r="G14" i="20"/>
  <c r="B10" i="1"/>
  <c r="B35" i="22"/>
  <c r="B9" i="1"/>
  <c r="B33" i="22"/>
  <c r="B68" i="21"/>
  <c r="B34" i="22"/>
  <c r="B67" i="21"/>
  <c r="G13" i="20"/>
  <c r="G16" i="20"/>
</calcChain>
</file>

<file path=xl/sharedStrings.xml><?xml version="1.0" encoding="utf-8"?>
<sst xmlns="http://schemas.openxmlformats.org/spreadsheetml/2006/main" count="1279" uniqueCount="840">
  <si>
    <t>Luminous Wetland Monte Carlo Financial Model</t>
  </si>
  <si>
    <t>FAST Standard Compliant (18-Sheet Architecture)</t>
  </si>
  <si>
    <t>Version:</t>
  </si>
  <si>
    <t>3.0</t>
  </si>
  <si>
    <t>Date:</t>
  </si>
  <si>
    <t>Author:</t>
  </si>
  <si>
    <t>Luminous BioSolutions</t>
  </si>
  <si>
    <t>Model Status</t>
  </si>
  <si>
    <t>Health:</t>
  </si>
  <si>
    <t>Errors:</t>
  </si>
  <si>
    <t>Sheet Navigation</t>
  </si>
  <si>
    <t>1_TOC</t>
  </si>
  <si>
    <t>Table of Contents / Control panel</t>
  </si>
  <si>
    <t>3_Instructions</t>
  </si>
  <si>
    <t>Methodology and documentation</t>
  </si>
  <si>
    <t>4_Assumptions</t>
  </si>
  <si>
    <t>ALL inputs (timing, site, test options, validation)</t>
  </si>
  <si>
    <t>6_Scenarios</t>
  </si>
  <si>
    <t>Value scenario definitions</t>
  </si>
  <si>
    <t>7_ServiceModels</t>
  </si>
  <si>
    <t>Monte Carlo distributions</t>
  </si>
  <si>
    <t>8_Calc_Timeline</t>
  </si>
  <si>
    <t>Projection timeline</t>
  </si>
  <si>
    <t>10_Calc_Stochastic</t>
  </si>
  <si>
    <t>Random variable generation</t>
  </si>
  <si>
    <t>12_Calc_Value</t>
  </si>
  <si>
    <t>Gated value calculations</t>
  </si>
  <si>
    <t>13_Calc_Costs</t>
  </si>
  <si>
    <t>Cost calculations</t>
  </si>
  <si>
    <t>14_Calc_Sim</t>
  </si>
  <si>
    <t>1000-iteration Monte Carlo</t>
  </si>
  <si>
    <t>15_PL_Monthly</t>
  </si>
  <si>
    <t>Monthly P&amp;L (placeholder)</t>
  </si>
  <si>
    <t>16_PL_Annual</t>
  </si>
  <si>
    <t>Annual projections</t>
  </si>
  <si>
    <t>17_CashFlow</t>
  </si>
  <si>
    <t>Cumulative projections</t>
  </si>
  <si>
    <t>18_UnitEconomics</t>
  </si>
  <si>
    <t>Unit economics view</t>
  </si>
  <si>
    <t>19_Sensitivity</t>
  </si>
  <si>
    <t>Tornado analysis</t>
  </si>
  <si>
    <t>20_Dashboard</t>
  </si>
  <si>
    <t>Executive dashboard</t>
  </si>
  <si>
    <t>21_Checks</t>
  </si>
  <si>
    <t>Validation checks</t>
  </si>
  <si>
    <t>Control Panel</t>
  </si>
  <si>
    <t>Description:</t>
  </si>
  <si>
    <t>User-editable model parameters that drive all calculations. Change these values to explore different scenarios.</t>
  </si>
  <si>
    <t>Purpose:</t>
  </si>
  <si>
    <t>Provide a single location for users to modify key model inputs</t>
  </si>
  <si>
    <t>Assumptions:</t>
  </si>
  <si>
    <t>- Testing_Option selects between HRMS and biosensor approaches
- Scenario_Select chooses conservative, base, or optimistic parameters
- Discount_Rate applies to all NPV calculations
- Projection_Years determines the financial projection horizon</t>
  </si>
  <si>
    <t>Data Source:</t>
  </si>
  <si>
    <t>User input - default values from Financial Model Framework v2.1</t>
  </si>
  <si>
    <t>Related Tables:</t>
  </si>
  <si>
    <t>tbl_ModelScenarios, tbl_TestOptions</t>
  </si>
  <si>
    <t>Parameter</t>
  </si>
  <si>
    <t>Value</t>
  </si>
  <si>
    <t>Validation</t>
  </si>
  <si>
    <t>Description</t>
  </si>
  <si>
    <t>Testing_Option</t>
  </si>
  <si>
    <t>Daily_Biosensor</t>
  </si>
  <si>
    <t>Dropdown</t>
  </si>
  <si>
    <t>Selected testing method</t>
  </si>
  <si>
    <t>Scenario_Select</t>
  </si>
  <si>
    <t>Base</t>
  </si>
  <si>
    <t>Model scenario</t>
  </si>
  <si>
    <t>Discount_Rate</t>
  </si>
  <si>
    <t>0%-15%</t>
  </si>
  <si>
    <t>NPV discount rate</t>
  </si>
  <si>
    <t>Projection_Years</t>
  </si>
  <si>
    <t>1-10</t>
  </si>
  <si>
    <t>Projection horizon</t>
  </si>
  <si>
    <t>Base_Year</t>
  </si>
  <si>
    <t>2024-2030</t>
  </si>
  <si>
    <t>Model start year</t>
  </si>
  <si>
    <t>Model Instructions &amp; Documentation</t>
  </si>
  <si>
    <t>1. Model Purpose</t>
  </si>
  <si>
    <t xml:space="preserve">  - Quantify value of high-frequency biosensor monitoring vs HRMS for OSPW wetland treatment</t>
  </si>
  <si>
    <t xml:space="preserve">  - Monte Carlo simulation for uncertainty quantification (1000 iterations)</t>
  </si>
  <si>
    <t xml:space="preserve">  - FAST Standard compliance for transparency and auditability</t>
  </si>
  <si>
    <t xml:space="preserve">  - All calculations performed in Excel - Python only generates structure/formulas</t>
  </si>
  <si>
    <t>2. How to Use This Model</t>
  </si>
  <si>
    <t>1. Edit yellow-highlighted cells in 1_TOC and 4_Assumptions</t>
  </si>
  <si>
    <t>2. Go to 14_Calc_Sim and set up the Data Table:</t>
  </si>
  <si>
    <t xml:space="preserve">   - Select range shown in instructions (formula row through 1000 iterations)</t>
  </si>
  <si>
    <t xml:space="preserve">   - Data &gt; What-If Analysis &gt; Data Table</t>
  </si>
  <si>
    <t xml:space="preserve">   - Column Input Cell: $K$1 (blank cell on same sheet)</t>
  </si>
  <si>
    <t>3. Press Ctrl+Alt+F9 to run Monte Carlo simulation</t>
  </si>
  <si>
    <t>4. View results in 20_Dashboard</t>
  </si>
  <si>
    <t>5. Check 21_Checks for any validation errors</t>
  </si>
  <si>
    <t>3. Latency Gating Logic</t>
  </si>
  <si>
    <t>HRMS lab testing has 42-day turnaround, blocking time-sensitive decisions:</t>
  </si>
  <si>
    <t>Scenario</t>
  </si>
  <si>
    <t>Required_Response</t>
  </si>
  <si>
    <t>HRMS_42d</t>
  </si>
  <si>
    <t>Biosensor_1d</t>
  </si>
  <si>
    <t>S1: Season Extension</t>
  </si>
  <si>
    <t>7 days</t>
  </si>
  <si>
    <t>BLOCKED</t>
  </si>
  <si>
    <t>ENABLED</t>
  </si>
  <si>
    <t>S2: Intervention Avoidance</t>
  </si>
  <si>
    <t>S3: Spatial Routing</t>
  </si>
  <si>
    <t>14 days</t>
  </si>
  <si>
    <t>S4: Early Detection</t>
  </si>
  <si>
    <t>3 days</t>
  </si>
  <si>
    <t>4. Glossary</t>
  </si>
  <si>
    <t>HRMS</t>
  </si>
  <si>
    <t>High-Resolution Mass Spectrometry</t>
  </si>
  <si>
    <t>OSPW</t>
  </si>
  <si>
    <t>Oil Sands Process-affected Water</t>
  </si>
  <si>
    <t>ARO</t>
  </si>
  <si>
    <t>Asset Retirement Obligation</t>
  </si>
  <si>
    <t>NPV</t>
  </si>
  <si>
    <t>Net Present Value</t>
  </si>
  <si>
    <t>HLR</t>
  </si>
  <si>
    <t>Hydraulic Loading Rate</t>
  </si>
  <si>
    <t>FAST</t>
  </si>
  <si>
    <t>Flexible, Appropriate, Structured, Transparent</t>
  </si>
  <si>
    <t>NAFC</t>
  </si>
  <si>
    <t>Naphthenic Acid Fraction Compounds</t>
  </si>
  <si>
    <t>5. Data Sources</t>
  </si>
  <si>
    <t xml:space="preserve">  - Zhang (2026) Long-Dated Environmental Liabilities in Oil Sands</t>
  </si>
  <si>
    <t xml:space="preserve">  - Kadlec &amp; Wallace (2009) Treatment Wetlands, 2nd Ed.</t>
  </si>
  <si>
    <t xml:space="preserve">  - FAST Standard Organisation (fast-standard.org)</t>
  </si>
  <si>
    <t xml:space="preserve">  - Luminous BioSolutions Financial Model Framework</t>
  </si>
  <si>
    <t xml:space="preserve">  - Kearl Wetland Pilot Data (GROW Presentation, Dec 2025)</t>
  </si>
  <si>
    <t>6. Value Per Cubic Meter Derivation</t>
  </si>
  <si>
    <t>The $5/m3 operational value is derived from:</t>
  </si>
  <si>
    <t xml:space="preserve">  - Conservative annual value: $250,000/year (Financial Model Framework)</t>
  </si>
  <si>
    <t xml:space="preserve">  - Annual throughput: 50,000 m3/year (4_Assumptions default)</t>
  </si>
  <si>
    <t xml:space="preserve">  - Calculation: $250,000 / 50,000 m3 = $5/m3</t>
  </si>
  <si>
    <t xml:space="preserve">  - This is the OPERATIONAL benefit only - excludes avoided treatment and ARO impacts</t>
  </si>
  <si>
    <t>Value Sensitivity Analysis (19_Sensitivity):</t>
  </si>
  <si>
    <t xml:space="preserve">  - Operational: $3-8/m3 (base $5) - Direct wetland treatment value</t>
  </si>
  <si>
    <t xml:space="preserve">  - Avoided Treatment: $10-30/m3 (base $20) - Alternative treatment costs</t>
  </si>
  <si>
    <t xml:space="preserve">  - ARO Liability: $21-93/m3 (base $50) - Zhang (2026) liability analysis</t>
  </si>
  <si>
    <t>7. Treatment Kinetics (Kearl 2022 Field Data)</t>
  </si>
  <si>
    <t>Source: Vander Meulen &amp; Headley (2024) GROW Presentation</t>
  </si>
  <si>
    <t>Project: Genome Canada LSARP - GROW (Genomics Research for Optimization of Constructed Treatment Wetlands)</t>
  </si>
  <si>
    <t>Two-Phase Kinetics Model:</t>
  </si>
  <si>
    <t xml:space="preserve">  - Rapid Phase (Days 0-15): -0.532 mg/L/day (R^2=0.43)</t>
  </si>
  <si>
    <t xml:space="preserve">  - Slow Phase (Days 30-69): -0.248 mg/L/day (R^2=0.50)</t>
  </si>
  <si>
    <t xml:space="preserve">  - The slowdown reflects preferential removal of labile compounds</t>
  </si>
  <si>
    <t>Toxicity Endpoints (Fathead Minnow Embryo):</t>
  </si>
  <si>
    <t xml:space="preserve">  - Day 14: ~50% survival (1 recirculation cycle = LC50)</t>
  </si>
  <si>
    <t xml:space="preserve">  - Day 28: 80-90% survival (2 cycles)</t>
  </si>
  <si>
    <t xml:space="preserve">  - Day 42: &gt;90% survival (3 cycles = non-toxic, equivalent to controls)</t>
  </si>
  <si>
    <t>The Concentration Paradox:</t>
  </si>
  <si>
    <t xml:space="preserve">  - Water at Day 42 was non-toxic despite ~50 mg/L NAFC concentration</t>
  </si>
  <si>
    <t xml:space="preserve">  - Literature LC50 values for fathead minnow: 18-34 mg/L</t>
  </si>
  <si>
    <t xml:space="preserve">  - Explanation: Wetlands preferentially remove high-carbon, lipophilic (most toxic) compounds</t>
  </si>
  <si>
    <t xml:space="preserve">  - Remaining NAFCs are oxidized (O3, O4 classes) and less bioavailable</t>
  </si>
  <si>
    <t xml:space="preserve">  - Implication: Total NAFC concentration alone may be inadequate for assessing safety</t>
  </si>
  <si>
    <t>Adjusting Parameters:</t>
  </si>
  <si>
    <t xml:space="preserve">  - All kinetics parameters are in 4_Assumptions Section H (yellow cells)</t>
  </si>
  <si>
    <t xml:space="preserve">  - Treatment_Rate_Factor in 7_ServiceModels captures seasonal/vegetation variability</t>
  </si>
  <si>
    <t xml:space="preserve">  - Modify Initial_NAFC to match your source water concentration</t>
  </si>
  <si>
    <t xml:space="preserve">  - Adjust Target_NAFC for different regulatory thresholds</t>
  </si>
  <si>
    <t>8. Change Log</t>
  </si>
  <si>
    <t>Version</t>
  </si>
  <si>
    <t>Date</t>
  </si>
  <si>
    <t>Changes</t>
  </si>
  <si>
    <t>3.2</t>
  </si>
  <si>
    <t>2026-01-29</t>
  </si>
  <si>
    <t>Value/m3 derivation documentation (Section 6)</t>
  </si>
  <si>
    <t>3.1</t>
  </si>
  <si>
    <t>Kearl treatment kinetics integration, Days_to_Compliance MC</t>
  </si>
  <si>
    <t>FAST 18-sheet refactor with LOCATIONS registry</t>
  </si>
  <si>
    <t>2.0</t>
  </si>
  <si>
    <t>2026-01-28</t>
  </si>
  <si>
    <t>Excel-native Monte Carlo via Data Tables</t>
  </si>
  <si>
    <t>1.0</t>
  </si>
  <si>
    <t>2025-12-01</t>
  </si>
  <si>
    <t>Initial Python-based model</t>
  </si>
  <si>
    <t>Input Traceability Map</t>
  </si>
  <si>
    <t>Shows which calculation sheets directly reference each input</t>
  </si>
  <si>
    <t>Input Name</t>
  </si>
  <si>
    <t>Source Sheet</t>
  </si>
  <si>
    <t>Referenced By</t>
  </si>
  <si>
    <t>Initial_NAFC</t>
  </si>
  <si>
    <t>Target_NAFC</t>
  </si>
  <si>
    <t>Rapid_Phase_Rate</t>
  </si>
  <si>
    <t>Slow_Phase_Rate</t>
  </si>
  <si>
    <t>Rapid_Phase_Duration</t>
  </si>
  <si>
    <t>Recirculation_Cycle</t>
  </si>
  <si>
    <t>Season_Length</t>
  </si>
  <si>
    <t>8_Calc_Timeline, 13_Calc_Costs, 14_Calc_Sim</t>
  </si>
  <si>
    <t>LearningCurve_Mult</t>
  </si>
  <si>
    <t>(range - see source sheet)</t>
  </si>
  <si>
    <t>Tri_Season_Extension_Days_Min</t>
  </si>
  <si>
    <t>Tri_Season_Extension_Days_Mode</t>
  </si>
  <si>
    <t>Tri_Season_Extension_Days_Max</t>
  </si>
  <si>
    <t>Tri_Extension_Value_Per_Day_Min</t>
  </si>
  <si>
    <t>Tri_Extension_Value_Per_Day_Mode</t>
  </si>
  <si>
    <t>Tri_Extension_Value_Per_Day_Max</t>
  </si>
  <si>
    <t>Tri_Interventions_Avoided_Min</t>
  </si>
  <si>
    <t>Tri_Interventions_Avoided_Mode</t>
  </si>
  <si>
    <t>Tri_Interventions_Avoided_Max</t>
  </si>
  <si>
    <t>Tri_Treatment_Rate_Factor_Min</t>
  </si>
  <si>
    <t>Tri_Treatment_Rate_Factor_Mode</t>
  </si>
  <si>
    <t>Tri_Treatment_Rate_Factor_Max</t>
  </si>
  <si>
    <t>Beta_Efficiency_Gain_Alpha</t>
  </si>
  <si>
    <t>Beta_Efficiency_Gain_Beta</t>
  </si>
  <si>
    <t>Beta_Efficiency_Gain_Min</t>
  </si>
  <si>
    <t>Beta_Efficiency_Gain_Max</t>
  </si>
  <si>
    <t>Eff_Rapid_Rate</t>
  </si>
  <si>
    <t>Eff_Slow_Rate</t>
  </si>
  <si>
    <t>NAFC_After_Rapid</t>
  </si>
  <si>
    <t>Days_to_Compliance</t>
  </si>
  <si>
    <t>8_Calc_Timeline, 14_Calc_Sim</t>
  </si>
  <si>
    <t>Timeline_LearningMult</t>
  </si>
  <si>
    <t>Timeline_DiscountFactor</t>
  </si>
  <si>
    <t>Summary</t>
  </si>
  <si>
    <t>Total inputs tracked: 30</t>
  </si>
  <si>
    <t>Registry entries: 28</t>
  </si>
  <si>
    <t>Note:</t>
  </si>
  <si>
    <t>'Referenced By' shows direct formula references only,</t>
  </si>
  <si>
    <t>not downstream dependencies. The verify_traceability()</t>
  </si>
  <si>
    <t>function validates this registry against actual formulas.</t>
  </si>
  <si>
    <t>Model Assumptions (Single Source of Truth)</t>
  </si>
  <si>
    <t>A. Timing Parameters</t>
  </si>
  <si>
    <t>Treatment season timing that determines the operational window for wetland treatment.</t>
  </si>
  <si>
    <t>Define the active treatment period for financial projections</t>
  </si>
  <si>
    <t>- Treatment season aligned with Alberta weather patterns (May-September)
- Season length directly impacts annual value capture potential</t>
  </si>
  <si>
    <t>Standard Alberta treatment wetland operational calendar</t>
  </si>
  <si>
    <t>tbl_Seasonality, tbl_Timeline</t>
  </si>
  <si>
    <t>Unit</t>
  </si>
  <si>
    <t>Notes</t>
  </si>
  <si>
    <t>Season_Start_Month</t>
  </si>
  <si>
    <t>month</t>
  </si>
  <si>
    <t>May</t>
  </si>
  <si>
    <t>Season_Start_Day</t>
  </si>
  <si>
    <t>day</t>
  </si>
  <si>
    <t>Mid-May</t>
  </si>
  <si>
    <t>Season_End_Month</t>
  </si>
  <si>
    <t>September</t>
  </si>
  <si>
    <t>Season_End_Day</t>
  </si>
  <si>
    <t>Mid-September</t>
  </si>
  <si>
    <t>Treatment_Days</t>
  </si>
  <si>
    <t>days</t>
  </si>
  <si>
    <t>Active season length</t>
  </si>
  <si>
    <t>Seasonality Index</t>
  </si>
  <si>
    <t>Monthly activity multipliers reflecting natural treatment capacity variation across the season.</t>
  </si>
  <si>
    <t>Weight value calculations by month based on treatment capacity patterns</t>
  </si>
  <si>
    <t>- Peak activity in June-July matches optimal treatment temperatures
- Ramp-up in May and decline in September reflect shoulder seasons</t>
  </si>
  <si>
    <t>Kearl pilot operational data patterns</t>
  </si>
  <si>
    <t>tbl_Timing, tbl_Timeline</t>
  </si>
  <si>
    <t>Month</t>
  </si>
  <si>
    <t>Month_Num</t>
  </si>
  <si>
    <t>Multiplier</t>
  </si>
  <si>
    <t>Activity</t>
  </si>
  <si>
    <t>Ramp-up</t>
  </si>
  <si>
    <t>June</t>
  </si>
  <si>
    <t>Peak</t>
  </si>
  <si>
    <t>July</t>
  </si>
  <si>
    <t>August</t>
  </si>
  <si>
    <t>Slight decline</t>
  </si>
  <si>
    <t>Decline</t>
  </si>
  <si>
    <t>B. Site Configuration</t>
  </si>
  <si>
    <t>Physical wetland parameters that define treatment capacity and value per unit.</t>
  </si>
  <si>
    <t>Establish the operational scale for all calculations</t>
  </si>
  <si>
    <t>- Standard 1.0 ha design based on Kearl pilot scaling
- HLR of 0.05 m3/m2/day is conservative for constructed wetlands</t>
  </si>
  <si>
    <t>Kearl pilot scaling (0.76 ha) extrapolated to standard design</t>
  </si>
  <si>
    <t>tbl_TreatmentKinetics</t>
  </si>
  <si>
    <t>Source</t>
  </si>
  <si>
    <t>WetlandAreaHa</t>
  </si>
  <si>
    <t>ha</t>
  </si>
  <si>
    <t>Standard design (Kearl pilot = 0.76 ha)</t>
  </si>
  <si>
    <t>TreatmentCells</t>
  </si>
  <si>
    <t>count</t>
  </si>
  <si>
    <t>Multi-cell design</t>
  </si>
  <si>
    <t>AnnualThroughputM3</t>
  </si>
  <si>
    <t>m3/yr</t>
  </si>
  <si>
    <t>HLR = 0.05 m3/m2/day</t>
  </si>
  <si>
    <t>ValuePerM3</t>
  </si>
  <si>
    <t>$/m3</t>
  </si>
  <si>
    <t>$250K/yr / 50K m3/yr (Section 6)</t>
  </si>
  <si>
    <t>C. Cost Parameters</t>
  </si>
  <si>
    <t>Operational cost assumptions for labor, penalties, and downtime.</t>
  </si>
  <si>
    <t>Enable cost-benefit calculations for testing options</t>
  </si>
  <si>
    <t>- Labor costs include all direct operational expenses
- Regulatory penalty reflects typical EPEA violation costs</t>
  </si>
  <si>
    <t>Industry estimates from Financial Model Framework v2.1</t>
  </si>
  <si>
    <t>tbl_CostCalc</t>
  </si>
  <si>
    <t>LaborPerDay</t>
  </si>
  <si>
    <t>$/day</t>
  </si>
  <si>
    <t>RegulatoryPenalty</t>
  </si>
  <si>
    <t>$</t>
  </si>
  <si>
    <t>DowntimeCostPerDay</t>
  </si>
  <si>
    <t>D. Learning Curve</t>
  </si>
  <si>
    <t>Year-over-year efficiency multipliers reflecting operational maturity progression.</t>
  </si>
  <si>
    <t>Discount early-year value to account for pilot learning and optimization</t>
  </si>
  <si>
    <t>- Year 1 at 50% reflects pilot learning phase
- Full maturity (100%) achieved by Year 3</t>
  </si>
  <si>
    <t>Standard industrial learning curve for new process technology</t>
  </si>
  <si>
    <t>tbl_Timeline, tbl_GatedValues</t>
  </si>
  <si>
    <t>Year</t>
  </si>
  <si>
    <t>Pilot learning</t>
  </si>
  <si>
    <t>Initial optimization</t>
  </si>
  <si>
    <t>Full maturity</t>
  </si>
  <si>
    <t>Steady state</t>
  </si>
  <si>
    <t>E. Test Options</t>
  </si>
  <si>
    <t>Testing method specifications including frequency, cost, and result latency.</t>
  </si>
  <si>
    <t>Compare HRMS lab testing vs real-time biosensor monitoring approaches</t>
  </si>
  <si>
    <t>- HRMS costs include lab fees and sample logistics
- Biosensor costs assume deployed hardware and consumables
- Latency includes sample processing and reporting time</t>
  </si>
  <si>
    <t>HRMS: Commercial lab quotes; Biosensor: Luminous device specifications</t>
  </si>
  <si>
    <t>tbl_LatencyGating, tbl_CostCalc</t>
  </si>
  <si>
    <t>Option</t>
  </si>
  <si>
    <t>Method</t>
  </si>
  <si>
    <t>Interval</t>
  </si>
  <si>
    <t>Points</t>
  </si>
  <si>
    <t>Cost_Per_Test</t>
  </si>
  <si>
    <t>Latency_Days</t>
  </si>
  <si>
    <t>Monthly_HRMS</t>
  </si>
  <si>
    <t>Weekly_HRMS</t>
  </si>
  <si>
    <t>Biosensor</t>
  </si>
  <si>
    <t>Latency Gating (Calculated)</t>
  </si>
  <si>
    <t>Calculated gate status showing which testing options can capture each value scenario.</t>
  </si>
  <si>
    <t>Determine ENABLED/BLOCKED status based on latency vs required response time</t>
  </si>
  <si>
    <t>- ENABLED if testing latency &lt;= scenario required response days
- BLOCKED if testing latency &gt; scenario required response days
- Gates determine whether value can be captured</t>
  </si>
  <si>
    <t>Calculated from tbl_TestOptions latency vs tbl_ValueScenarios requirements</t>
  </si>
  <si>
    <t>tbl_TestOptions, tbl_ValueScenarios, tbl_GatedValues</t>
  </si>
  <si>
    <t>S1_Gate</t>
  </si>
  <si>
    <t>S2_Gate</t>
  </si>
  <si>
    <t>S3_Gate</t>
  </si>
  <si>
    <t>S4_Gate</t>
  </si>
  <si>
    <t>F. VALIDATION LISTS</t>
  </si>
  <si>
    <t>Testing_Options</t>
  </si>
  <si>
    <t>Scenarios</t>
  </si>
  <si>
    <t>Conservative</t>
  </si>
  <si>
    <t>Optimistic</t>
  </si>
  <si>
    <t>G. MC ANCHOR</t>
  </si>
  <si>
    <t>MC_Anchor --&gt;</t>
  </si>
  <si>
    <t>H. Treatment Kinetics</t>
  </si>
  <si>
    <t>NAFC removal rate parameters from Kearl 2022 pilot field data.</t>
  </si>
  <si>
    <t>Model treatment progression and time-to-compliance calculations</t>
  </si>
  <si>
    <t>- Biphasic removal: rapid initial phase (Days 0-15) then slower steady state
- Rates calibrated from Vander Meulen &amp; Headley (2024) GROW presentation</t>
  </si>
  <si>
    <t>Kearl 2022 pilot data - Vander Meulen &amp; Headley GROW presentation</t>
  </si>
  <si>
    <t>tbl_ToxicityMilestones, tbl_Stochastic</t>
  </si>
  <si>
    <t>mg/L</t>
  </si>
  <si>
    <t>Kearl 2022 Day 0 concentration</t>
  </si>
  <si>
    <t>Regulatory threshold for non-toxicity</t>
  </si>
  <si>
    <t>mg/L/day</t>
  </si>
  <si>
    <t>Kearl Days 0-15 (R^2=0.43)</t>
  </si>
  <si>
    <t>Kearl Days 30-69 (R^2=0.50)</t>
  </si>
  <si>
    <t>Duration of rapid removal phase</t>
  </si>
  <si>
    <t>Standard wetland recirculation</t>
  </si>
  <si>
    <t>System_Capacity</t>
  </si>
  <si>
    <t>m3</t>
  </si>
  <si>
    <t>Kearl 4-bay system volume</t>
  </si>
  <si>
    <t>I. Toxicity Milestones</t>
  </si>
  <si>
    <t>Fathead minnow embryo survival endpoints marking treatment progress toward non-toxicity.</t>
  </si>
  <si>
    <t>Define compliance milestones for treatment effectiveness tracking</t>
  </si>
  <si>
    <t>- LC50 at Day 14 marks start of toxicity reduction
- Non-toxic threshold (&gt;90% survival) typically achieved by Day 42</t>
  </si>
  <si>
    <t>Parrott Lab (Burlington) fathead minnow embryo bioassays</t>
  </si>
  <si>
    <t>Milestone</t>
  </si>
  <si>
    <t>Days</t>
  </si>
  <si>
    <t>Survival</t>
  </si>
  <si>
    <t>Day_LC50</t>
  </si>
  <si>
    <t>50%</t>
  </si>
  <si>
    <t>1 recirculation cycle - LC50 threshold</t>
  </si>
  <si>
    <t>Day_80_Survival</t>
  </si>
  <si>
    <t>80-90%</t>
  </si>
  <si>
    <t>2 recirculation cycles</t>
  </si>
  <si>
    <t>Day_Nontoxic</t>
  </si>
  <si>
    <t>&gt;90%</t>
  </si>
  <si>
    <t>3 cycles - equivalent to negative control</t>
  </si>
  <si>
    <t>Environmental Driver Profiles</t>
  </si>
  <si>
    <t>Environmental Drivers</t>
  </si>
  <si>
    <t>Monthly profiles for key environmental variables affecting treatment kinetics.
Temperature drives Q10 rate modifier (rates double per 10C above 20C).
UV intensity affects photodegradation rates.
Dissolved oxygen controls aerobic biodegradation.
Nutrient availability influences microbial activity.
Bioavailability accounts for sorption and binding effects.</t>
  </si>
  <si>
    <t>Variable</t>
  </si>
  <si>
    <t>Jun</t>
  </si>
  <si>
    <t>Jul</t>
  </si>
  <si>
    <t>Aug</t>
  </si>
  <si>
    <t>Sep</t>
  </si>
  <si>
    <t>Temp_Water</t>
  </si>
  <si>
    <t>C</t>
  </si>
  <si>
    <t>Water temperature - Q10 driver</t>
  </si>
  <si>
    <t>UV_Relative</t>
  </si>
  <si>
    <t>0-1</t>
  </si>
  <si>
    <t>Relative UV intensity</t>
  </si>
  <si>
    <t>DO_Typical</t>
  </si>
  <si>
    <t>Dissolved oxygen</t>
  </si>
  <si>
    <t>Nutrient_Index</t>
  </si>
  <si>
    <t>Nutrient availability</t>
  </si>
  <si>
    <t>Bioavail_Index</t>
  </si>
  <si>
    <t>Bioavailability factor</t>
  </si>
  <si>
    <t>Ionic Parameters (Compliance Gates)</t>
  </si>
  <si>
    <t>Min</t>
  </si>
  <si>
    <t>Mode</t>
  </si>
  <si>
    <t>Max</t>
  </si>
  <si>
    <t>Threshold</t>
  </si>
  <si>
    <t>Direction</t>
  </si>
  <si>
    <t>Chloride</t>
  </si>
  <si>
    <t>below</t>
  </si>
  <si>
    <t>Aquatic life threshold</t>
  </si>
  <si>
    <t>SAR</t>
  </si>
  <si>
    <t>ratio</t>
  </si>
  <si>
    <t>Land application limit</t>
  </si>
  <si>
    <t>Sulfate</t>
  </si>
  <si>
    <t>Process water indicator</t>
  </si>
  <si>
    <t>DO_Compliance</t>
  </si>
  <si>
    <t>above</t>
  </si>
  <si>
    <t>Minimum for discharge</t>
  </si>
  <si>
    <t>Current Site Profile:</t>
  </si>
  <si>
    <t>Kearl</t>
  </si>
  <si>
    <t>(from config/sites/kearl.yaml)</t>
  </si>
  <si>
    <t>Value Scenario Definitions</t>
  </si>
  <si>
    <t>Four value streams enabled by biosensor monitoring that HRMS testing cannot capture due to latency constraints.</t>
  </si>
  <si>
    <t>Quantify the annual financial benefit of each operational improvement enabled by real-time monitoring</t>
  </si>
  <si>
    <t>- Values are additive (a single biosensor deployment captures all four simultaneously)
- Base values calibrated from $250K/year total operational value allocation
- Required response days based on operational decision-making windows
- HRMS 42-day latency blocks all scenarios; biosensor 1-day latency enables all</t>
  </si>
  <si>
    <t>Financial Model Framework v2.1 - operational value allocation</t>
  </si>
  <si>
    <t>tbl_ModelScenarios, tbl_GatedValues, tbl_LatencyGating</t>
  </si>
  <si>
    <t>ID</t>
  </si>
  <si>
    <t>Name</t>
  </si>
  <si>
    <t>Base_Value</t>
  </si>
  <si>
    <t>Required_Response_Days</t>
  </si>
  <si>
    <t>S1</t>
  </si>
  <si>
    <t>Season Extension</t>
  </si>
  <si>
    <t>Temperature-based vs calendar shutdown</t>
  </si>
  <si>
    <t>S2</t>
  </si>
  <si>
    <t>Intervention Avoidance</t>
  </si>
  <si>
    <t>Prevented false-positive interventions</t>
  </si>
  <si>
    <t>S3</t>
  </si>
  <si>
    <t>Spatial Routing</t>
  </si>
  <si>
    <t>Route to high-performing cells</t>
  </si>
  <si>
    <t>S4</t>
  </si>
  <si>
    <t>Early Detection</t>
  </si>
  <si>
    <t>Reduced bio-assay costs</t>
  </si>
  <si>
    <t>Model Scenarios</t>
  </si>
  <si>
    <t>Parameter adjustments for conservative, base, and optimistic financial projections.</t>
  </si>
  <si>
    <t>Enable sensitivity analysis by adjusting discount rate, growth rate, and risk factors</t>
  </si>
  <si>
    <t>- Base scenario uses unadjusted parameters from model inputs
- Conservative adds higher discount (+0.4%), lower growth (-2%), higher risk (+10%)
- Optimistic uses lower discount (-0.3%), higher growth (+1%), lower risk (-10%)</t>
  </si>
  <si>
    <t>Standard financial modeling practice - scenario analysis parameters</t>
  </si>
  <si>
    <t>tbl_ValueScenarios, tbl_Sensitivity</t>
  </si>
  <si>
    <t>Discount_Adj</t>
  </si>
  <si>
    <t>Growth_Adj</t>
  </si>
  <si>
    <t>Risk_Adj</t>
  </si>
  <si>
    <t>Monte Carlo Distribution Parameters</t>
  </si>
  <si>
    <t>Triangular Distributions</t>
  </si>
  <si>
    <t>Monte Carlo input parameters using triangular probability distributions for key uncertain variables.</t>
  </si>
  <si>
    <t>Define the uncertainty ranges for stochastic variables that drive value scenario calculations</t>
  </si>
  <si>
    <t>- Triangular distribution selected for interpretability with stakeholders
- Min/Max represent 10th/90th percentile expert estimates, not absolute bounds
- Mode represents the most likely value (base case assumption)
- Variables are assumed independent (no correlation modeled)</t>
  </si>
  <si>
    <t>Expert judgment calibrated against Financial Model Framework v2.1</t>
  </si>
  <si>
    <t>tbl_Stochastic, tbl_GatedValues, tbl_ValueScenarios</t>
  </si>
  <si>
    <t>Units</t>
  </si>
  <si>
    <t>Season_Extension_Days</t>
  </si>
  <si>
    <t>Extension_Value_Per_Day</t>
  </si>
  <si>
    <t>Interventions_Avoided</t>
  </si>
  <si>
    <t>events</t>
  </si>
  <si>
    <t>Treatment_Rate_Factor</t>
  </si>
  <si>
    <t>multiplier</t>
  </si>
  <si>
    <t>Beta Distributions</t>
  </si>
  <si>
    <t>Monte Carlo input parameters using beta distributions for bounded percentage variables.</t>
  </si>
  <si>
    <t>Model uncertainty in efficiency and probability parameters that must stay within 0-100% bounds</t>
  </si>
  <si>
    <t>- Beta distribution ensures values stay within specified bounds
- Alpha/Beta parameters shape the distribution skewness
- Used for variables that represent percentages or bounded factors</t>
  </si>
  <si>
    <t>Expert judgment for efficiency and probability estimates</t>
  </si>
  <si>
    <t>tbl_Triangular, tbl_Stochastic</t>
  </si>
  <si>
    <t>Alpha</t>
  </si>
  <si>
    <t>Beta</t>
  </si>
  <si>
    <t>Efficiency_Gain</t>
  </si>
  <si>
    <t>%</t>
  </si>
  <si>
    <t>Value Per M3 Sensitivity Frames</t>
  </si>
  <si>
    <t>Alternative value framing approaches for sensitivity analysis and stakeholder communication.</t>
  </si>
  <si>
    <t>Provide multiple perspectives on value per cubic meter of treated water</t>
  </si>
  <si>
    <t>- Operational frame: Direct operational cost savings
- Avoided Treatment frame: Value of alternatives not needed
- ARO Liability frame: Asset retirement obligation cost reduction (Zhang 2026)
- Values are illustrative ranges for framing discussions</t>
  </si>
  <si>
    <t>Zhang (2026) analysis for ARO frame; operational estimates for others</t>
  </si>
  <si>
    <t>tbl_ValueScenarios, tbl_KPIs</t>
  </si>
  <si>
    <t>Frame</t>
  </si>
  <si>
    <t>Low</t>
  </si>
  <si>
    <t>High</t>
  </si>
  <si>
    <t>Context</t>
  </si>
  <si>
    <t>Operational</t>
  </si>
  <si>
    <t>Direct operational benefit</t>
  </si>
  <si>
    <t>Avoided Treatment</t>
  </si>
  <si>
    <t>Alternative treatment costs</t>
  </si>
  <si>
    <t>ARO Liability</t>
  </si>
  <si>
    <t>Zhang (2026) analysis</t>
  </si>
  <si>
    <t>Projection Timeline</t>
  </si>
  <si>
    <t>Understanding the Timeline</t>
  </si>
  <si>
    <t>This sheet generates the projection timeline used throughout the model.
Key outputs:
- Year numbers (1-5) based on Projection_Years setting
- Calendar years starting from Base_Year
- Month indices for seasonal calculations
The timeline drives all time-dependent calculations in sheets 8-15.
Changing Projection_Years or Base_Year in 1_TOC updates this timeline.</t>
  </si>
  <si>
    <t>Year-by-year projection timeline with seasonal month breakdown and learning curve factors.</t>
  </si>
  <si>
    <t>Generate the time dimension for all financial calculations</t>
  </si>
  <si>
    <t>- Projection starts at Base_Year and extends for Projection_Years
- Each year contains 12 months with season flags
- Learning curve multiplier applied from tbl_LearningCurve</t>
  </si>
  <si>
    <t>Generated from 1_TOC control parameters</t>
  </si>
  <si>
    <t>tbl_LearningCurve, tbl_Seasonality, tbl_Annual</t>
  </si>
  <si>
    <t>Year_Index</t>
  </si>
  <si>
    <t>Calendar_Year</t>
  </si>
  <si>
    <t>Discount_Factor</t>
  </si>
  <si>
    <t>Learning_Mult</t>
  </si>
  <si>
    <t>Treatment Kinetics (Kearl 2022)</t>
  </si>
  <si>
    <t>Source: Vander Meulen &amp; Headley (2024) GROW</t>
  </si>
  <si>
    <t>Metric</t>
  </si>
  <si>
    <t>Formula</t>
  </si>
  <si>
    <t>'=Rapid_Phase_Rate * Stoch_TreatmentRate</t>
  </si>
  <si>
    <t>'=Slow_Phase_Rate * Stoch_TreatmentRate</t>
  </si>
  <si>
    <t>'=MAX(0, Initial - Rate * Duration)</t>
  </si>
  <si>
    <t>Two-phase calculation</t>
  </si>
  <si>
    <t>Circulation_Cycles</t>
  </si>
  <si>
    <t>'=CEILING(Days / Cycle, 1)</t>
  </si>
  <si>
    <t>cycles</t>
  </si>
  <si>
    <t>Treatment_Efficiency</t>
  </si>
  <si>
    <t>'=(Initial - Target) / Initial</t>
  </si>
  <si>
    <t>Compliance_Status</t>
  </si>
  <si>
    <t>Achievable within season?</t>
  </si>
  <si>
    <t>status</t>
  </si>
  <si>
    <t>Treatment Kinetics Modifiers</t>
  </si>
  <si>
    <t>Kinetics Cascade</t>
  </si>
  <si>
    <t>Environmental rate modifiers cascade to produce Effective_Rate.
Q10: Temperature coefficient (rate doubles per 10C above reference).
UV: Photodegradation modifier (reduced by turbidity).
DO: Aerobic biodegradation modifier (full above 6.5 mg/L).
Nutrient/Bioavail: Substrate availability modifiers.</t>
  </si>
  <si>
    <t>Modifier</t>
  </si>
  <si>
    <t>Q10_Factor</t>
  </si>
  <si>
    <t>T=20C gives 1.0, T=30C gives 2.0</t>
  </si>
  <si>
    <t>UV_Modifier</t>
  </si>
  <si>
    <t>UV intensity adjusted for turbidity</t>
  </si>
  <si>
    <t>DO_Modifier</t>
  </si>
  <si>
    <t>Full rate above 6.5 mg/L</t>
  </si>
  <si>
    <t>Nutrient_Modifier</t>
  </si>
  <si>
    <t>Nutrient availability factor</t>
  </si>
  <si>
    <t>Bioavail_Modifier</t>
  </si>
  <si>
    <t>Adjusted for clay sorption</t>
  </si>
  <si>
    <t>Combined Rate Calculation</t>
  </si>
  <si>
    <t>Effective_Rate</t>
  </si>
  <si>
    <t>Combined effective treatment rate</t>
  </si>
  <si>
    <t>Rate_vs_Baseline</t>
  </si>
  <si>
    <t>Effective vs baseline rate</t>
  </si>
  <si>
    <t>Stochastic Variables</t>
  </si>
  <si>
    <t>(Press F9 to recalculate random draws)</t>
  </si>
  <si>
    <t>Monte Carlo Random Variables</t>
  </si>
  <si>
    <t>This sheet generates random variables for Monte Carlo simulation.
Each variable uses a triangular distribution defined in 5_ServiceModels:
- Min: Worst-case value
- Mode: Most likely value
- Max: Best-case value
The RAND() functions recalculate when you press F9 or Ctrl+Alt+F9.
Sheet 10_Calc_Sim captures 1000 iterations via Excel Data Tables.
Important: These values change on every recalculation. The simulation
statistics (P10, P50, P90) in the Dashboard are calculated from the
1000 captured iterations, not from individual cell values.</t>
  </si>
  <si>
    <t>Random variable generation using triangular distributions for Monte Carlo simulation.</t>
  </si>
  <si>
    <t>Generate stochastic multipliers that vary across simulation iterations</t>
  </si>
  <si>
    <t>- Uses triangular distribution parameters from 5_ServiceModels
- RAND() functions recalculate on spreadsheet refresh
- Values captured by Data Table in 10_Calc_Sim for 1000 iterations</t>
  </si>
  <si>
    <t>Distribution parameters from tbl_Triangular and tbl_Beta</t>
  </si>
  <si>
    <t>tbl_Triangular, tbl_Beta, tbl_GatedValues</t>
  </si>
  <si>
    <t>Random_U</t>
  </si>
  <si>
    <t>Realized_Value</t>
  </si>
  <si>
    <t>Season_Extension</t>
  </si>
  <si>
    <t>Extension_Value</t>
  </si>
  <si>
    <t>Compliance Gate Matrix</t>
  </si>
  <si>
    <t>Compliance Gates</t>
  </si>
  <si>
    <t>13-variable compliance gates for water release qualification.
Each gate returns 1 (PASS) or 0 (FAIL) as numeric value.
ComplianceGate = MIN(all gates) - 0 if ANY gate fails.
Numeric gates enable: value gating, fractional compliance (future).
Gate thresholds defined in 5_EnvironmentalDrivers.</t>
  </si>
  <si>
    <t>Gate</t>
  </si>
  <si>
    <t>Status</t>
  </si>
  <si>
    <t>Toxicity</t>
  </si>
  <si>
    <t>NAFC &lt;= Target</t>
  </si>
  <si>
    <t>NAFC toxicity target</t>
  </si>
  <si>
    <t>&lt; 230 mg/L</t>
  </si>
  <si>
    <t>Aquatic life protection</t>
  </si>
  <si>
    <t>&lt; 4.0</t>
  </si>
  <si>
    <t>Land application</t>
  </si>
  <si>
    <t>DO</t>
  </si>
  <si>
    <t>&gt;= 6.5 mg/L</t>
  </si>
  <si>
    <t>Minimum oxygen</t>
  </si>
  <si>
    <t>pH_Low</t>
  </si>
  <si>
    <t>&gt; 6.5</t>
  </si>
  <si>
    <t>pH lower limit</t>
  </si>
  <si>
    <t>pH_High</t>
  </si>
  <si>
    <t>&lt; 8.5</t>
  </si>
  <si>
    <t>pH upper limit</t>
  </si>
  <si>
    <t>&lt; 500 mg/L</t>
  </si>
  <si>
    <t>Temperature</t>
  </si>
  <si>
    <t>&lt; 25 C</t>
  </si>
  <si>
    <t>Thermal discharge</t>
  </si>
  <si>
    <t>&lt; Target</t>
  </si>
  <si>
    <t>Treatment complete</t>
  </si>
  <si>
    <t>Turbidity</t>
  </si>
  <si>
    <t>&lt; 100 NTU</t>
  </si>
  <si>
    <t>Sediment control</t>
  </si>
  <si>
    <t>Oil_Sheen</t>
  </si>
  <si>
    <t>None visible</t>
  </si>
  <si>
    <t>absent</t>
  </si>
  <si>
    <t>Visual inspection</t>
  </si>
  <si>
    <t>Odor</t>
  </si>
  <si>
    <t>None detected</t>
  </si>
  <si>
    <t>Sensory inspection</t>
  </si>
  <si>
    <t>Foam</t>
  </si>
  <si>
    <t>None persistent</t>
  </si>
  <si>
    <t>Surface condition</t>
  </si>
  <si>
    <t>Master Gate Status</t>
  </si>
  <si>
    <t>ComplianceGate</t>
  </si>
  <si>
    <t>Gates Passing</t>
  </si>
  <si>
    <t>of 13</t>
  </si>
  <si>
    <t>Gates Failing</t>
  </si>
  <si>
    <t>Gated Value Calculations</t>
  </si>
  <si>
    <t>Understanding Gated Value Calculations</t>
  </si>
  <si>
    <t>This sheet calculates value that HRMS testing CANNOT capture due to its
42-day latency. Each scenario requires a response faster than HRMS allows.
The "Gating" Logic:
- HRMS has 42-day turnaround from sample to results
- All four scenarios require decisions within 3-14 days
- Therefore, HRMS is always BLOCKED; Biosensor (1-day) is ENABLED
Value Calculation:
- Gated_Value = Base_Value x Stoch_Mult (if ENABLED)
- Gated_Value = $0 (if BLOCKED)
Since the selected Testing_Option is Biosensor (1-day latency), all
scenarios are ENABLED and contribute value. If HRMS were selected,
all would be BLOCKED and total value would be $0.</t>
  </si>
  <si>
    <t>Scenario values after applying latency gating logic and stochastic multipliers.</t>
  </si>
  <si>
    <t>Calculate the actual value captured based on testing option's ability to meet response time requirements</t>
  </si>
  <si>
    <t>- Gate status determined by comparing testing latency to required response time
- ENABLED scenarios: Gated_Value = Base_Value x Stoch_Mult
- BLOCKED scenarios: Gated_Value = $0 (value cannot be captured)
- Stochastic multipliers vary each Monte Carlo iteration</t>
  </si>
  <si>
    <t>Calculated from tbl_ValueScenarios, tbl_LatencyGating, and tbl_Stochastic</t>
  </si>
  <si>
    <t>tbl_ValueScenarios, tbl_LatencyGating, tbl_Stochastic, tbl_ScenarioBreakdown</t>
  </si>
  <si>
    <t>Gate_Status</t>
  </si>
  <si>
    <t>Stoch_Mult</t>
  </si>
  <si>
    <t>Gated_Value</t>
  </si>
  <si>
    <t>S1_Season_Extension</t>
  </si>
  <si>
    <t>S2_Intervention_Avoidance</t>
  </si>
  <si>
    <t>S3_Spatial_Routing</t>
  </si>
  <si>
    <t>S4_Early_Detection</t>
  </si>
  <si>
    <t>Total_Gross_Value</t>
  </si>
  <si>
    <t>Compliance Gate</t>
  </si>
  <si>
    <t>AdjustedValue</t>
  </si>
  <si>
    <t>Note: AdjustedValue = Gross_Value × ComplianceGate</t>
  </si>
  <si>
    <t>If ANY compliance gate fails (13 gates), value becomes $0</t>
  </si>
  <si>
    <t>Cost Calculations</t>
  </si>
  <si>
    <t>Understanding Cost Calculations</t>
  </si>
  <si>
    <t>This sheet calculates the annual cost of the selected testing approach.
Cost Components:
- Testing frequency: How often samples are taken (daily vs weekly vs monthly)
- Sample points: Number of locations monitored per test event
- Cost per test: Lab analysis cost for HRMS or sensor cost for Biosensor
- Season length: Number of active treatment days per year
Formula: Annual_Cost = (Season_Days / Test_Interval) x Sample_Points x Cost_Per_Test
The testing option parameters come from 3_Assumptions (Test Options table).
Biosensor has higher frequency but much lower cost per test, resulting
in comparable or lower total annual costs with far better data resolution.</t>
  </si>
  <si>
    <t>Cost Calculation</t>
  </si>
  <si>
    <t>Annual testing cost breakdown for the selected monitoring approach.</t>
  </si>
  <si>
    <t>Calculate total cost of testing to include in ROI and NPV calculations</t>
  </si>
  <si>
    <t>- Cost = (Season_Days / Test_Interval) x Sample_Points x Cost_Per_Test
- Parameters looked up from tbl_TestOptions based on selected option</t>
  </si>
  <si>
    <t>Calculated from tbl_TestOptions parameters</t>
  </si>
  <si>
    <t>tbl_TestOptions, tbl_CostParams, tbl_Annual</t>
  </si>
  <si>
    <t>Component</t>
  </si>
  <si>
    <t>Selected_Option</t>
  </si>
  <si>
    <t>Interval_Days</t>
  </si>
  <si>
    <t>INDEX/MATCH</t>
  </si>
  <si>
    <t>Monitoring_Points</t>
  </si>
  <si>
    <t>Events_Per_Season</t>
  </si>
  <si>
    <t>Season_Length / Interval</t>
  </si>
  <si>
    <t>Total_Tests</t>
  </si>
  <si>
    <t>Events * Points</t>
  </si>
  <si>
    <t>Season_Testing_Cost</t>
  </si>
  <si>
    <t>Total_Tests * Cost_Per_Test</t>
  </si>
  <si>
    <t>Monte Carlo Simulation (1000 iterations)</t>
  </si>
  <si>
    <t>Running the Monte Carlo Simulation</t>
  </si>
  <si>
    <t>This sheet captures 1000 iterations using Excel's Data Table feature.
SETUP INSTRUCTIONS:
1. Select the data range A5:I1005 (headers + 1000 rows)
2. Go to Data &gt; What-If Analysis &gt; Data Table
3. Leave "Row input cell" blank
4. For "Column input cell" enter: $K$1 (any blank cell on this sheet)
5. Click OK
HOW IT WORKS:
- Excel recalculates the model 1000 times
- Each row captures one iteration's outputs (NPV, scenario values, costs)
- The Data Table forces RAND() functions to regenerate each iteration
- Results are stored as values, not formulas
RECALCULATING:
- Press Ctrl+Alt+F9 to force full recalculation
- This regenerates all 1000 iterations (may take several seconds)
- Standard F9 only recalculates changed cells
OUTPUT STATISTICS:
- Expected NPV: Mean of 1000 iterations
- P10/P50/P90: Percentile values for confidence intervals
- Prob(NPV&gt;0): Percentage of iterations with positive NPV</t>
  </si>
  <si>
    <t>Select A8:I1008 &gt; Data &gt; What-If Analysis &gt; Data Table</t>
  </si>
  <si>
    <t>Column Input Cell: $K$1 (blank cell on this sheet)</t>
  </si>
  <si>
    <t>Iteration</t>
  </si>
  <si>
    <t>Cost</t>
  </si>
  <si>
    <t>Net</t>
  </si>
  <si>
    <t>Monte Carlo Statistics</t>
  </si>
  <si>
    <t>Expected NPV</t>
  </si>
  <si>
    <t>P10 NPV</t>
  </si>
  <si>
    <t>P50 NPV (Median)</t>
  </si>
  <si>
    <t>P90 NPV</t>
  </si>
  <si>
    <t>StdDev</t>
  </si>
  <si>
    <t>Prob(NPV&gt;0)</t>
  </si>
  <si>
    <t>Treatment Kinetics Statistics</t>
  </si>
  <si>
    <t>Expected Days to Compliance</t>
  </si>
  <si>
    <t>P10 Days (optimistic)</t>
  </si>
  <si>
    <t>P50 Days (median)</t>
  </si>
  <si>
    <t>P90 Days (conservative)</t>
  </si>
  <si>
    <t>Prob(Achievable in Season)</t>
  </si>
  <si>
    <t>Monthly P&amp;L (Placeholder)</t>
  </si>
  <si>
    <t>Monthly P&amp;L View</t>
  </si>
  <si>
    <t>This sheet is a placeholder for future monthly P&amp;L projections.
CURRENT STATUS: Not implemented in this version.
FUTURE USE CASES:
- Monthly cash flow timing for working capital analysis
- Seasonal revenue recognition patterns
- Monthly cost accruals
- Intra-year variance analysis
The model currently uses annual projections (12_PL_Annual) as the
primary financial view. Monthly detail would add complexity without
significant benefit for the current valuation use case.
If monthly detail is needed, the structure should mirror 12_PL_Annual
with columns for each month and rows for:
- Gross Value by scenario
- Testing costs
- Operating expenses
- Net monthly benefit</t>
  </si>
  <si>
    <t>Annual Projections</t>
  </si>
  <si>
    <t>Annual Financial Projections</t>
  </si>
  <si>
    <t>This sheet projects annual value capture over the planning horizon.
KEY CALCULATIONS:
- Gross Value: Sum of gated scenario values from 8_Calc_Value
- Learning Curve: Year 1 at 50%, Year 2 at 75%, Year 3+ at 100%
- Adjusted Value: Gross Value x Learning Curve Multiplier
- Net Value: Adjusted Value - Testing Costs
- NPV: Discounted sum using rate from 1_TOC
LEARNING CURVE RATIONALE:
Year 1 (50%): Pilot learning, process establishment
Year 2 (75%): Initial optimization, expanded coverage
Year 3+ (100%): Full operational maturity, steady state
The learning curve can be adjusted in 3_Assumptions Section D.
Conservative default reflects typical technology adoption patterns.</t>
  </si>
  <si>
    <t>Year-by-year financial projections with learning curve adjustments and NPV calculations.</t>
  </si>
  <si>
    <t>Project multi-year value capture for ROI and NPV analysis</t>
  </si>
  <si>
    <t>- Learning curve applied: Year 1 (50%), Year 2 (75%), Year 3+ (100%)
- Discount rate from 1_TOC applied to all future cash flows
- Testing costs deducted annually based on selected approach</t>
  </si>
  <si>
    <t>Calculated from tbl_GatedValues, tbl_LearningCurve, tbl_CostCalc</t>
  </si>
  <si>
    <t>tbl_GatedValues, tbl_LearningCurve, tbl_CostCalc, tbl_CashFlow</t>
  </si>
  <si>
    <t>S1_Value</t>
  </si>
  <si>
    <t>S2_Value</t>
  </si>
  <si>
    <t>S3_Value</t>
  </si>
  <si>
    <t>S4_Value</t>
  </si>
  <si>
    <t>Gross_Value</t>
  </si>
  <si>
    <t>Costs</t>
  </si>
  <si>
    <t>Net_Annual</t>
  </si>
  <si>
    <t>Discounted</t>
  </si>
  <si>
    <t>Aggregate KPIs</t>
  </si>
  <si>
    <t>NPV_Total</t>
  </si>
  <si>
    <t>Total_Gross_5Yr</t>
  </si>
  <si>
    <t>Total_Net_5Yr</t>
  </si>
  <si>
    <t>Cumulative Cash Flow</t>
  </si>
  <si>
    <t>Cumulative Cash Flow Analysis</t>
  </si>
  <si>
    <t>This sheet tracks cumulative value capture over the projection horizon.
KEY METRICS:
- Cumulative Net: Running total of annual net benefits
- Cumulative NPV: Running total of discounted net benefits
- Payback Point: Year when cumulative value turns positive
USE CASES:
- Determine when investment breaks even
- Assess cash flow timing for capital planning
- Compare cumulative value vs upfront investment
Note: This model assumes no upfront capital investment for the
biosensor system (included in testing costs). For scenarios with
capital expenditure, add an initial investment row and adjust
payback calculations accordingly.</t>
  </si>
  <si>
    <t>Cash Flow Summary</t>
  </si>
  <si>
    <t>Cumulative cash flow and NPV tracking for payback analysis.</t>
  </si>
  <si>
    <t>Track when cumulative value exceeds investment for breakeven analysis</t>
  </si>
  <si>
    <t>- No upfront capital investment assumed (costs included in testing)
- Annual net values from tbl_Annual
- Cumulative NPV used for total project value</t>
  </si>
  <si>
    <t>Calculated from tbl_Annual</t>
  </si>
  <si>
    <t>tbl_Annual, tbl_KPIs</t>
  </si>
  <si>
    <t>Annual_Net</t>
  </si>
  <si>
    <t>Cumulative_Net</t>
  </si>
  <si>
    <t>Cumulative_NPV</t>
  </si>
  <si>
    <t>Unit Economics</t>
  </si>
  <si>
    <t>Per-Cubic-Meter Economics</t>
  </si>
  <si>
    <t>This sheet expresses all values on a per-m3 basis for comparability.
WHY UNIT ECONOMICS MATTER:
- Allows comparison across different site sizes
- Enables scaling estimates to new deployments
- Provides intuitive metrics for operator discussions
- Connects to industry benchmarks (treatment costs, ARO liabilities)
KEY METRICS:
- Value per m3: Total value divided by annual throughput
- Cost per m3: Testing cost divided by throughput
- Net per m3: Value minus cost per unit volume
- NPV per m3: 5-year NPV divided by total 5-year throughput
BENCHMARKS (from 2_Instructions):
- Operational value: $3-8/m3 (this model's output)
- Avoided treatment: $10-30/m3 (alternative treatment costs)
- ARO liability: $21-93/m3 (Zhang 2026 analysis)
The biosensor's value per m3 can be compared against these benchmarks
to understand its contribution relative to the total value stack.</t>
  </si>
  <si>
    <t>Per-cubic-meter economics for cross-site comparability and scaling estimates.</t>
  </si>
  <si>
    <t>Express all values on per-m3 basis for benchmarking and scaling</t>
  </si>
  <si>
    <t>- Annual throughput from tbl_SiteConfig used as denominator
- NPV values divided by 5-year total throughput
- Benchmarks from industry data and Zhang (2026) analysis</t>
  </si>
  <si>
    <t>Calculated from model outputs and 3_Assumptions throughput</t>
  </si>
  <si>
    <t>tbl_SiteConfig, tbl_Annual, tbl_KPIs</t>
  </si>
  <si>
    <t>Annual Throughput</t>
  </si>
  <si>
    <t>From 4_Assumptions</t>
  </si>
  <si>
    <t>Gross Value per Season</t>
  </si>
  <si>
    <t>Sum of S1-S4 (pre-compliance)</t>
  </si>
  <si>
    <t>Compliance-Adjusted Value</t>
  </si>
  <si>
    <t>Gross × ComplianceGate</t>
  </si>
  <si>
    <t>Testing Cost per Season</t>
  </si>
  <si>
    <t>Based on option selected</t>
  </si>
  <si>
    <t>Net Value per Season</t>
  </si>
  <si>
    <t>Adjusted - Testing</t>
  </si>
  <si>
    <t>Value per m3 (Gross)</t>
  </si>
  <si>
    <t>Gross / Throughput</t>
  </si>
  <si>
    <t>Value per m3 (Net)</t>
  </si>
  <si>
    <t>Net / Throughput</t>
  </si>
  <si>
    <t>Cost per m3</t>
  </si>
  <si>
    <t>Testing / Throughput</t>
  </si>
  <si>
    <t>5-Year NPV per m3</t>
  </si>
  <si>
    <t>NPV / (5yr throughput)</t>
  </si>
  <si>
    <t>Breakeven Analysis</t>
  </si>
  <si>
    <t>Testing cost per test:</t>
  </si>
  <si>
    <t>Tests per season:</t>
  </si>
  <si>
    <t>Value per test (net):</t>
  </si>
  <si>
    <t>Sensitivity Analysis</t>
  </si>
  <si>
    <t>Tornado Sensitivity Analysis</t>
  </si>
  <si>
    <t>This sheet shows how NPV changes when individual parameters vary.
METHODOLOGY:
- Each parameter is varied from Low to High while others stay at Base
- NPV is calculated at each extreme
- "Swing" = |NPV_at_High - NPV_at_Low| measures parameter influence
- Parameters are sorted by Swing (largest impact first)
INTERPRETATION:
- Parameters at top of tornado have most influence on outcomes
- Focus validation efforts on high-sensitivity parameters
- Parameters with low swing are less critical to model accuracy
KEY PARAMETERS TESTED:
- Value_Per_M3: Direct impact on operational value
- Annual_Throughput: Volume scaling factor
- Treatment_Rate_Factor: Kinetics uncertainty
- Discount_Rate: Time value of money
- Season_Length: Active treatment period
LIMITATIONS:
- One-at-a-time analysis ignores parameter correlations
- Monte Carlo simulation (10_Calc_Sim) captures joint uncertainty
- Use tornado for directional insight, MC for quantified risk</t>
  </si>
  <si>
    <t>Tornado chart data showing NPV impact when each parameter varies from low to high.</t>
  </si>
  <si>
    <t>Identify which parameters most influence outcomes for validation focus</t>
  </si>
  <si>
    <t>- One-at-a-time analysis: each parameter varied while others at base
- Swing = |NPV_at_High - NPV_at_Low| measures parameter influence
- Parameters sorted by swing (largest impact first)</t>
  </si>
  <si>
    <t>Calculated by evaluating NPV at parameter bounds</t>
  </si>
  <si>
    <t>tbl_Triangular, tbl_SiteConfig, tbl_KPIs</t>
  </si>
  <si>
    <t>NPV_at_Low</t>
  </si>
  <si>
    <t>NPV_at_High</t>
  </si>
  <si>
    <t>Swing</t>
  </si>
  <si>
    <t>Value_Per_M3</t>
  </si>
  <si>
    <t>Wetland_Area</t>
  </si>
  <si>
    <t>Methodology</t>
  </si>
  <si>
    <t>Proportional parameters: NPV scales linearly with parameter ratio (Low/Base, High/Base)</t>
  </si>
  <si>
    <t>Discount Rate: Uses time-value adjustment formula NPV * ((1+Base)/(1+Rate))^2.5</t>
  </si>
  <si>
    <t>Note: These are first-order approximations. For precise sensitivity, use Monte Carlo.</t>
  </si>
  <si>
    <t>Tornado Chart</t>
  </si>
  <si>
    <t>1. Select Parameter and Swing columns (A4:A8, G4:G8)</t>
  </si>
  <si>
    <t>2. Insert -&gt; Chart -&gt; Bar Chart (horizontal)</t>
  </si>
  <si>
    <t>3. Sort data by Swing descending for tornado effect</t>
  </si>
  <si>
    <t>Executive Dashboard</t>
  </si>
  <si>
    <t>Key Results Summary</t>
  </si>
  <si>
    <t>This dashboard presents the key outputs from the Monte Carlo simulation.
PRIMARY METRICS:
- Expected NPV: Mean of 1000 simulation iterations
- P10/P50/P90: Confidence interval bounds
- Probability NPV &gt; 0: Likelihood of positive outcome
INTERPRETATION GUIDE:
- P10 = "Pessimistic but plausible" (10% of outcomes are worse)
- P50 = Median outcome (equally likely to be higher or lower)
- P90 = "Optimistic but plausible" (10% of outcomes are better)
A narrow P10-P90 range indicates low uncertainty.
P10 &gt; 0 means even pessimistic scenarios show positive value.
REFRESH DATA:
Press Ctrl+Alt+F9 to regenerate all 1000 Monte Carlo iterations.
Dashboard values update automatically.</t>
  </si>
  <si>
    <t>Key Performance Indicators</t>
  </si>
  <si>
    <t>Primary Monte Carlo simulation outputs and financial metrics for executive decision-making.</t>
  </si>
  <si>
    <t>Provide at-a-glance summary of biosensor investment value and risk profile</t>
  </si>
  <si>
    <t>- NPV calculated over 5-year horizon with 7% discount rate
- P10/P50/P90 derived from 1000 Monte Carlo iterations
- All metrics assume Daily Biosensor as selected testing option
- Values refresh when Monte Carlo simulation is recalculated</t>
  </si>
  <si>
    <t>Calculated from 10_Calc_Sim Monte Carlo simulation results</t>
  </si>
  <si>
    <t>tbl_ScenarioBreakdown, tbl_Annual, tbl_CashFlow</t>
  </si>
  <si>
    <t>Selected Testing Option</t>
  </si>
  <si>
    <t>Expected NPV (5-Year)</t>
  </si>
  <si>
    <t>Monte Carlo P10</t>
  </si>
  <si>
    <t>Monte Carlo P50</t>
  </si>
  <si>
    <t>Monte Carlo P90</t>
  </si>
  <si>
    <t>Probability NPV &gt; 0</t>
  </si>
  <si>
    <t>Compliance Gate Status</t>
  </si>
  <si>
    <t>Annual Testing Cost</t>
  </si>
  <si>
    <t>Year 1 Gross Value</t>
  </si>
  <si>
    <t>Year 1 Net Value</t>
  </si>
  <si>
    <t>Scenario Value Breakdown</t>
  </si>
  <si>
    <t>Individual scenario contributions to total gated value with gate status.</t>
  </si>
  <si>
    <t>Show which value scenarios are captured by the selected testing option</t>
  </si>
  <si>
    <t>- Gate status determined by testing latency vs required response time
- ENABLED means testing latency allows capturing this value
- BLOCKED means testing latency prevents capturing this value
- Values are stochastic and vary with each Monte Carlo iteration</t>
  </si>
  <si>
    <t>Calculated from 8_Calc_Value gating logic and stochastic multipliers</t>
  </si>
  <si>
    <t>tbl_KPIs, tbl_ValueScenarios, tbl_GatedValues</t>
  </si>
  <si>
    <t>NAFC degradation parameters and Monte Carlo treatment time estimates.</t>
  </si>
  <si>
    <t>Validate that biosensor-enabled treatment achieves regulatory compliance within season</t>
  </si>
  <si>
    <t>- Based on Kearl (2022) first-order kinetics model for NAFC degradation
- Initial/target NAFC concentrations from site characterization data
- Treatment rate factor varies stochastically (0.7-1.3 multiplier)
- Season length constraint of 120 days for Alberta operations</t>
  </si>
  <si>
    <t>Kearl (2022) wetland treatment kinetics research</t>
  </si>
  <si>
    <t>tbl_KPIs, tbl_Triangular, tbl_TreatmentKinetics</t>
  </si>
  <si>
    <t>Initial NAFC Concentration</t>
  </si>
  <si>
    <t>Target NAFC Concentration</t>
  </si>
  <si>
    <t>"-"</t>
  </si>
  <si>
    <t>Days to Regulatory Compliance</t>
  </si>
  <si>
    <t>Circulation Cycles Required</t>
  </si>
  <si>
    <t>Treatment Efficiency</t>
  </si>
  <si>
    <t>MC Expected Days</t>
  </si>
  <si>
    <t>MC P90 Days (conservative)</t>
  </si>
  <si>
    <t>MC Prob(Achievable)</t>
  </si>
  <si>
    <t>Testing Option Comparison</t>
  </si>
  <si>
    <t>Side-by-side comparison of gate status and value across all testing options.</t>
  </si>
  <si>
    <t>Demonstrate the value differential between HRMS and biosensor testing approaches</t>
  </si>
  <si>
    <t>- Monthly HRMS: 42-day turnaround, $60K/season
- Weekly HRMS: 42-day turnaround, $28.6K/season
- Daily Biosensor: 1-day turnaround, $10K/season
- Gate status determined by latency vs required response time</t>
  </si>
  <si>
    <t>Testing cost quotes and operational latency measurements</t>
  </si>
  <si>
    <t>tbl_KPIs, tbl_TestOptions, tbl_LatencyGating</t>
  </si>
  <si>
    <t>S1 Gate</t>
  </si>
  <si>
    <t>S2 Gate</t>
  </si>
  <si>
    <t>S3 Gate</t>
  </si>
  <si>
    <t>S4 Gate</t>
  </si>
  <si>
    <t>Testing Cost/Season</t>
  </si>
  <si>
    <t>$60,000</t>
  </si>
  <si>
    <t>$28,571</t>
  </si>
  <si>
    <t>$10,000</t>
  </si>
  <si>
    <t>Potential 5-Year NPV</t>
  </si>
  <si>
    <t>-$29k</t>
  </si>
  <si>
    <t>$180k</t>
  </si>
  <si>
    <t>$1.1M+</t>
  </si>
  <si>
    <t>Model Health</t>
  </si>
  <si>
    <t>Check Status:</t>
  </si>
  <si>
    <t>Errors Found:</t>
  </si>
  <si>
    <t>Model Validation Checks</t>
  </si>
  <si>
    <t>Model Integrity Checks</t>
  </si>
  <si>
    <t>This sheet validates model inputs and calculations.
CHECK CATEGORIES:
- Range: Input values within acceptable bounds
- Consistency: Related inputs are logically consistent
- Sanity: Output values are reasonable
- Integrity: Calculations produce expected results
INTERPRETING RESULTS:
- PASS: Check passed, no action needed
- FAIL: Issue detected, review the referenced input/output
WHAT TO DO IF CHECKS FAIL:
1. Note which check(s) failed
2. Review the description to understand the issue
3. Navigate to the relevant input (usually 1_TOC or 3_Assumptions)
4. Adjust values to bring them within valid ranges
5. Return here to confirm PASS status
AUTOMATED MONITORING:
The 0_Cover sheet shows overall model health status.
Any FAIL here will trigger the "Review 17_Checks" warning.</t>
  </si>
  <si>
    <t>Automated validation rules that verify model inputs and outputs are within acceptable ranges.</t>
  </si>
  <si>
    <t>Ensure model integrity by detecting invalid inputs, inconsistent parameters, and unreasonable outputs</t>
  </si>
  <si>
    <t>- Range checks based on reasonable operational bounds
- Sanity checks based on expected order-of-magnitude for outputs
- Consistency checks ensure related parameters are logically coherent
- PASS/FAIL status updates automatically when inputs change</t>
  </si>
  <si>
    <t>Validation rules based on domain expertise and operational constraints</t>
  </si>
  <si>
    <t>tbl_Control, tbl_KPIs, tbl_ValueScenarios</t>
  </si>
  <si>
    <t>Check_ID</t>
  </si>
  <si>
    <t>Category</t>
  </si>
  <si>
    <t>CHK001</t>
  </si>
  <si>
    <t>Range</t>
  </si>
  <si>
    <t>Discount rate between 0-15%</t>
  </si>
  <si>
    <t>CHK002</t>
  </si>
  <si>
    <t>Season length between 60-150 days</t>
  </si>
  <si>
    <t>CHK003</t>
  </si>
  <si>
    <t>Projection years between 1-10</t>
  </si>
  <si>
    <t>CHK004</t>
  </si>
  <si>
    <t>Value per M3 positive</t>
  </si>
  <si>
    <t>CHK005</t>
  </si>
  <si>
    <t>Logic</t>
  </si>
  <si>
    <t>Testing option valid</t>
  </si>
  <si>
    <t>CHK006</t>
  </si>
  <si>
    <t>Scenario selection valid</t>
  </si>
  <si>
    <t>CHK007</t>
  </si>
  <si>
    <t>Sanity</t>
  </si>
  <si>
    <t>NPV within reasonable bounds</t>
  </si>
  <si>
    <t>CHK008</t>
  </si>
  <si>
    <t>Testing cost positive</t>
  </si>
  <si>
    <t>CHK009</t>
  </si>
  <si>
    <t>Gross value non-negative</t>
  </si>
  <si>
    <t>CHK010</t>
  </si>
  <si>
    <t>Integrity</t>
  </si>
  <si>
    <t>All named ranges defined</t>
  </si>
  <si>
    <t>CHK011</t>
  </si>
  <si>
    <t>Initial NAFC in range (40-100 mg/L)</t>
  </si>
  <si>
    <t>CHK012</t>
  </si>
  <si>
    <t>Target NAFC &lt; Initial NAFC</t>
  </si>
  <si>
    <t>CHK013</t>
  </si>
  <si>
    <t>Days to compliance &lt;= season length</t>
  </si>
  <si>
    <t>CHK014</t>
  </si>
  <si>
    <t>Treatment rates positive</t>
  </si>
  <si>
    <t>CHK015</t>
  </si>
  <si>
    <t>Compliance</t>
  </si>
  <si>
    <t>Master compliance gate status</t>
  </si>
  <si>
    <t>CHK016</t>
  </si>
  <si>
    <t>Compliance adjusted value non-negative</t>
  </si>
  <si>
    <t>Total Checks:</t>
  </si>
  <si>
    <t>Passed:</t>
  </si>
  <si>
    <t>Failed:</t>
  </si>
  <si>
    <t>Model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</si>
</sst>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0.0%"/>
    <numFmt numFmtId="166" formatCode="\$#,##0.00"/>
    <numFmt numFmtId="167" formatCode="\$#,##0"/>
    <numFmt numFmtId="168" formatCode="0.000"/>
    <numFmt numFmtId="169" formatCode="0.0"/>
    <numFmt numFmtId="170" formatCode="0.0\ &quot;mg/L&quot;"/>
    <numFmt numFmtId="171" formatCode="0.0\ &quot;days&quot;"/>
  </numFmts>
  <fonts count="14" x14ac:knownFonts="1">
    <font>
      <sz val="11"/>
      <color theme="1"/>
      <name val="Calibri"/>
      <family val="2"/>
      <scheme val="minor"/>
    </font>
    <font>
      <b/>
      <sz val="20"/>
      <name val="Calibri"/>
      <family val="2"/>
    </font>
    <font>
      <i/>
      <sz val="12"/>
      <name val="Calibri"/>
      <family val="2"/>
    </font>
    <font>
      <b/>
      <sz val="14"/>
      <name val="Calibri"/>
      <family val="2"/>
    </font>
    <font>
      <b/>
      <sz val="16"/>
      <name val="Calibri"/>
      <family val="2"/>
    </font>
    <font>
      <b/>
      <sz val="11"/>
      <name val="Calibri"/>
      <family val="2"/>
    </font>
    <font>
      <b/>
      <sz val="10"/>
      <color rgb="FF666666"/>
      <name val="Calibri"/>
      <family val="2"/>
    </font>
    <font>
      <sz val="10"/>
      <color rgb="FF666666"/>
      <name val="Calibri"/>
      <family val="2"/>
    </font>
    <font>
      <b/>
      <sz val="11"/>
      <color rgb="FFFFFFFF"/>
      <name val="Calibri"/>
      <family val="2"/>
    </font>
    <font>
      <b/>
      <sz val="11"/>
      <name val="Calibri"/>
      <family val="2"/>
    </font>
    <font>
      <i/>
      <sz val="11"/>
      <name val="Calibri"/>
      <family val="2"/>
    </font>
    <font>
      <b/>
      <sz val="11"/>
      <color rgb="FF1F4E79"/>
      <name val="Calibri"/>
      <family val="2"/>
    </font>
    <font>
      <i/>
      <sz val="9"/>
      <name val="Calibri"/>
      <family val="2"/>
    </font>
    <font>
      <i/>
      <sz val="9"/>
      <color rgb="FF666666"/>
      <name val="Calibri"/>
      <family val="2"/>
    </font>
  </fonts>
  <fills count="6">
    <fill>
      <patternFill patternType="none"/>
    </fill>
    <fill>
      <patternFill patternType="gray125"/>
    </fill>
    <fill>
      <patternFill patternType="solid">
        <fgColor rgb="FFF2F2F2"/>
        <bgColor rgb="FFF2F2F2"/>
      </patternFill>
    </fill>
    <fill>
      <patternFill patternType="solid">
        <fgColor rgb="FF4472C4"/>
        <bgColor rgb="FF4472C4"/>
      </patternFill>
    </fill>
    <fill>
      <patternFill patternType="solid">
        <fgColor rgb="FFFFFF99"/>
        <bgColor rgb="FFFFFF99"/>
      </patternFill>
    </fill>
    <fill>
      <patternFill patternType="solid">
        <fgColor rgb="FFDEEAF6"/>
        <bgColor rgb="FFDEEAF6"/>
      </patternFill>
    </fill>
  </fills>
  <borders count="4">
    <border>
      <left/>
      <right/>
      <top/>
      <bottom/>
      <diagonal/>
    </border>
    <border>
      <left style="medium">
        <color rgb="FF4472C4"/>
      </left>
      <right style="medium">
        <color rgb="FF4472C4"/>
      </right>
      <top style="medium">
        <color rgb="FF4472C4"/>
      </top>
      <bottom style="medium">
        <color rgb="FF4472C4"/>
      </bottom>
      <diagonal/>
    </border>
    <border>
      <left/>
      <right/>
      <top style="medium">
        <color rgb="FF4472C4"/>
      </top>
      <bottom style="medium">
        <color rgb="FF4472C4"/>
      </bottom>
      <diagonal/>
    </border>
    <border>
      <left/>
      <right style="medium">
        <color rgb="FF4472C4"/>
      </right>
      <top style="medium">
        <color rgb="FF4472C4"/>
      </top>
      <bottom style="medium">
        <color rgb="FF4472C4"/>
      </bottom>
      <diagonal/>
    </border>
  </borders>
  <cellStyleXfs count="1">
    <xf numFmtId="0" fontId="0" fillId="0" borderId="0"/>
  </cellStyleXfs>
  <cellXfs count="37">
    <xf numFmtId="0" fontId="0" fillId="0" borderId="0" xfId="0"/>
    <xf numFmtId="0" fontId="1" fillId="0" borderId="0" xfId="0" applyFont="1"/>
    <xf numFmtId="0" fontId="2" fillId="0" borderId="0" xfId="0" applyFont="1"/>
    <xf numFmtId="164" fontId="0" fillId="0" borderId="0" xfId="0" applyNumberFormat="1"/>
    <xf numFmtId="0" fontId="3" fillId="0" borderId="0" xfId="0" applyFont="1"/>
    <xf numFmtId="0" fontId="4" fillId="0" borderId="0" xfId="0" applyFont="1"/>
    <xf numFmtId="0" fontId="5" fillId="0" borderId="0" xfId="0" applyFont="1"/>
    <xf numFmtId="0" fontId="6" fillId="2" borderId="0" xfId="0" applyFont="1" applyFill="1" applyAlignment="1">
      <alignment vertical="top"/>
    </xf>
    <xf numFmtId="0" fontId="8" fillId="3" borderId="0" xfId="0" applyFont="1" applyFill="1"/>
    <xf numFmtId="0" fontId="0" fillId="4" borderId="0" xfId="0" applyFill="1"/>
    <xf numFmtId="165" fontId="0" fillId="4" borderId="0" xfId="0" applyNumberFormat="1" applyFill="1"/>
    <xf numFmtId="0" fontId="9" fillId="0" borderId="0" xfId="0" applyFont="1"/>
    <xf numFmtId="0" fontId="10" fillId="0" borderId="0" xfId="0" applyFont="1"/>
    <xf numFmtId="166" fontId="0" fillId="4" borderId="0" xfId="0" applyNumberFormat="1" applyFill="1"/>
    <xf numFmtId="167" fontId="0" fillId="4" borderId="0" xfId="0" applyNumberFormat="1" applyFill="1"/>
    <xf numFmtId="167" fontId="0" fillId="0" borderId="0" xfId="0" applyNumberFormat="1"/>
    <xf numFmtId="168" fontId="0" fillId="4" borderId="0" xfId="0" applyNumberFormat="1" applyFill="1"/>
    <xf numFmtId="169" fontId="0" fillId="4" borderId="0" xfId="0" applyNumberFormat="1" applyFill="1"/>
    <xf numFmtId="2" fontId="0" fillId="4" borderId="0" xfId="0" applyNumberFormat="1" applyFill="1"/>
    <xf numFmtId="1" fontId="0" fillId="4" borderId="0" xfId="0" applyNumberFormat="1" applyFill="1"/>
    <xf numFmtId="0" fontId="12" fillId="0" borderId="0" xfId="0" applyFont="1"/>
    <xf numFmtId="168" fontId="0" fillId="0" borderId="0" xfId="0" applyNumberFormat="1"/>
    <xf numFmtId="2" fontId="0" fillId="0" borderId="0" xfId="0" applyNumberFormat="1"/>
    <xf numFmtId="169" fontId="0" fillId="0" borderId="0" xfId="0" applyNumberFormat="1"/>
    <xf numFmtId="1" fontId="0" fillId="0" borderId="0" xfId="0" applyNumberFormat="1"/>
    <xf numFmtId="165" fontId="0" fillId="0" borderId="0" xfId="0" applyNumberFormat="1"/>
    <xf numFmtId="0" fontId="13" fillId="0" borderId="0" xfId="0" applyFont="1"/>
    <xf numFmtId="167" fontId="9" fillId="0" borderId="0" xfId="0" applyNumberFormat="1" applyFont="1"/>
    <xf numFmtId="166" fontId="0" fillId="0" borderId="0" xfId="0" applyNumberFormat="1"/>
    <xf numFmtId="170" fontId="0" fillId="0" borderId="0" xfId="0" applyNumberFormat="1"/>
    <xf numFmtId="171" fontId="0" fillId="0" borderId="0" xfId="0" applyNumberFormat="1"/>
    <xf numFmtId="0" fontId="7" fillId="2" borderId="0" xfId="0" applyFont="1" applyFill="1" applyAlignment="1">
      <alignment vertical="top" wrapText="1"/>
    </xf>
    <xf numFmtId="0" fontId="0" fillId="0" borderId="0" xfId="0"/>
    <xf numFmtId="0" fontId="0" fillId="5" borderId="1" xfId="0" applyFill="1" applyBorder="1" applyAlignment="1">
      <alignment horizontal="left" vertical="top" wrapText="1"/>
    </xf>
    <xf numFmtId="0" fontId="0" fillId="0" borderId="2" xfId="0" applyBorder="1"/>
    <xf numFmtId="0" fontId="0" fillId="0" borderId="3" xfId="0" applyBorder="1"/>
    <xf numFmtId="0" fontId="11" fillId="5" borderId="1" xfId="0" applyFont="1" applyFill="1" applyBorder="1" applyAlignment="1">
      <alignment horizontal="lef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Control" displayName="tbl_Control" ref="A9:D14">
  <autoFilter ref="A9:D14" xr:uid="{00000000-0009-0000-0100-000001000000}"/>
  <tableColumns count="4">
    <tableColumn id="1" xr3:uid="{00000000-0010-0000-0000-000001000000}" name="Parameter"/>
    <tableColumn id="2" xr3:uid="{00000000-0010-0000-0000-000002000000}" name="Value"/>
    <tableColumn id="3" xr3:uid="{00000000-0010-0000-0000-000003000000}" name="Validation"/>
    <tableColumn id="4" xr3:uid="{00000000-0010-0000-0000-000004000000}" name="Descriptio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InputMap" displayName="tbl_InputMap" ref="A4:D34">
  <autoFilter ref="A4:D34" xr:uid="{00000000-0009-0000-0100-000002000000}"/>
  <tableColumns count="4">
    <tableColumn id="1" xr3:uid="{00000000-0010-0000-0100-000001000000}" name="Input Name"/>
    <tableColumn id="2" xr3:uid="{00000000-0010-0000-0100-000002000000}" name="Value"/>
    <tableColumn id="3" xr3:uid="{00000000-0010-0000-0100-000003000000}" name="Source Sheet"/>
    <tableColumn id="4" xr3:uid="{00000000-0010-0000-0100-000004000000}" name="Referenced By"/>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Timing" displayName="tbl_Timing" ref="A9:E14">
  <autoFilter ref="A9:E14" xr:uid="{00000000-0009-0000-0100-000003000000}"/>
  <tableColumns count="5">
    <tableColumn id="1" xr3:uid="{00000000-0010-0000-0200-000001000000}" name="Parameter"/>
    <tableColumn id="2" xr3:uid="{00000000-0010-0000-0200-000002000000}" name="Value"/>
    <tableColumn id="3" xr3:uid="{00000000-0010-0000-0200-000003000000}" name="Unit"/>
    <tableColumn id="4" xr3:uid="{00000000-0010-0000-0200-000004000000}" name="Notes"/>
    <tableColumn id="5" xr3:uid="{00000000-0010-0000-0200-000005000000}" name="Referenced By"/>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Seasonality" displayName="tbl_Seasonality" ref="A22:D27">
  <autoFilter ref="A22:D27" xr:uid="{00000000-0009-0000-0100-000004000000}"/>
  <tableColumns count="4">
    <tableColumn id="1" xr3:uid="{00000000-0010-0000-0300-000001000000}" name="Month"/>
    <tableColumn id="2" xr3:uid="{00000000-0010-0000-0300-000002000000}" name="Month_Num"/>
    <tableColumn id="3" xr3:uid="{00000000-0010-0000-0300-000003000000}" name="Multiplier"/>
    <tableColumn id="4" xr3:uid="{00000000-0010-0000-0300-000004000000}" name="Activity"/>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iteConfig" displayName="tbl_SiteConfig" ref="A36:E40">
  <autoFilter ref="A36:E40" xr:uid="{00000000-0009-0000-0100-000005000000}"/>
  <tableColumns count="5">
    <tableColumn id="1" xr3:uid="{00000000-0010-0000-0400-000001000000}" name="Parameter"/>
    <tableColumn id="2" xr3:uid="{00000000-0010-0000-0400-000002000000}" name="Value"/>
    <tableColumn id="3" xr3:uid="{00000000-0010-0000-0400-000003000000}" name="Unit"/>
    <tableColumn id="4" xr3:uid="{00000000-0010-0000-0400-000004000000}" name="Source"/>
    <tableColumn id="5" xr3:uid="{00000000-0010-0000-0400-000005000000}" name="Referenced By"/>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CostParams" displayName="tbl_CostParams" ref="A49:D52">
  <autoFilter ref="A49:D52" xr:uid="{00000000-0009-0000-0100-000006000000}"/>
  <tableColumns count="4">
    <tableColumn id="1" xr3:uid="{00000000-0010-0000-0500-000001000000}" name="Parameter"/>
    <tableColumn id="2" xr3:uid="{00000000-0010-0000-0500-000002000000}" name="Value"/>
    <tableColumn id="3" xr3:uid="{00000000-0010-0000-0500-000003000000}" name="Unit"/>
    <tableColumn id="4" xr3:uid="{00000000-0010-0000-0500-000004000000}" name="Referenced By"/>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LearningCurve" displayName="tbl_LearningCurve" ref="A61:D66">
  <autoFilter ref="A61:D66" xr:uid="{00000000-0009-0000-0100-000007000000}"/>
  <tableColumns count="4">
    <tableColumn id="1" xr3:uid="{00000000-0010-0000-0600-000001000000}" name="Year"/>
    <tableColumn id="2" xr3:uid="{00000000-0010-0000-0600-000002000000}" name="Multiplier"/>
    <tableColumn id="3" xr3:uid="{00000000-0010-0000-0600-000003000000}" name="Notes"/>
    <tableColumn id="4" xr3:uid="{00000000-0010-0000-0600-000004000000}" name="Referenced By"/>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TestOptions" displayName="tbl_TestOptions" ref="A75:G78">
  <autoFilter ref="A75:G78" xr:uid="{00000000-0009-0000-0100-000008000000}"/>
  <tableColumns count="7">
    <tableColumn id="1" xr3:uid="{00000000-0010-0000-0700-000001000000}" name="Option"/>
    <tableColumn id="2" xr3:uid="{00000000-0010-0000-0700-000002000000}" name="Method"/>
    <tableColumn id="3" xr3:uid="{00000000-0010-0000-0700-000003000000}" name="Interval"/>
    <tableColumn id="4" xr3:uid="{00000000-0010-0000-0700-000004000000}" name="Points"/>
    <tableColumn id="5" xr3:uid="{00000000-0010-0000-0700-000005000000}" name="Cost_Per_Test"/>
    <tableColumn id="6" xr3:uid="{00000000-0010-0000-0700-000006000000}" name="Latency_Days"/>
    <tableColumn id="7" xr3:uid="{00000000-0010-0000-0700-000007000000}" name="Referenced By"/>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LatencyGating" displayName="tbl_LatencyGating" ref="A86:E89">
  <autoFilter ref="A86:E89" xr:uid="{00000000-0009-0000-0100-000009000000}"/>
  <tableColumns count="5">
    <tableColumn id="1" xr3:uid="{00000000-0010-0000-0800-000001000000}" name="Option"/>
    <tableColumn id="2" xr3:uid="{00000000-0010-0000-0800-000002000000}" name="S1_Gate"/>
    <tableColumn id="3" xr3:uid="{00000000-0010-0000-0800-000003000000}" name="S2_Gate"/>
    <tableColumn id="4" xr3:uid="{00000000-0010-0000-0800-000004000000}" name="S3_Gate"/>
    <tableColumn id="5" xr3:uid="{00000000-0010-0000-0800-000005000000}" name="S4_Gate"/>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TreatmentKinetics" displayName="tbl_TreatmentKinetics" ref="A107:E114">
  <autoFilter ref="A107:E114" xr:uid="{00000000-0009-0000-0100-00000A000000}"/>
  <tableColumns count="5">
    <tableColumn id="1" xr3:uid="{00000000-0010-0000-0900-000001000000}" name="Parameter"/>
    <tableColumn id="2" xr3:uid="{00000000-0010-0000-0900-000002000000}" name="Value"/>
    <tableColumn id="3" xr3:uid="{00000000-0010-0000-0900-000003000000}" name="Unit"/>
    <tableColumn id="4" xr3:uid="{00000000-0010-0000-0900-000004000000}" name="Notes"/>
    <tableColumn id="5" xr3:uid="{00000000-0010-0000-0900-000005000000}" name="Referenced By"/>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ToxicityMilestones" displayName="tbl_ToxicityMilestones" ref="A123:D126">
  <autoFilter ref="A123:D126" xr:uid="{00000000-0009-0000-0100-00000B000000}"/>
  <tableColumns count="4">
    <tableColumn id="1" xr3:uid="{00000000-0010-0000-0A00-000001000000}" name="Milestone"/>
    <tableColumn id="2" xr3:uid="{00000000-0010-0000-0A00-000002000000}" name="Days"/>
    <tableColumn id="3" xr3:uid="{00000000-0010-0000-0A00-000003000000}" name="Survival"/>
    <tableColumn id="4" xr3:uid="{00000000-0010-0000-0A00-000004000000}" name="Notes"/>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Env_Profiles" displayName="tbl_Env_Profiles" ref="A7:H12">
  <autoFilter ref="A7:H12" xr:uid="{00000000-0009-0000-0100-00000C000000}"/>
  <tableColumns count="8">
    <tableColumn id="1" xr3:uid="{00000000-0010-0000-0B00-000001000000}" name="Variable"/>
    <tableColumn id="2" xr3:uid="{00000000-0010-0000-0B00-000002000000}" name="Unit"/>
    <tableColumn id="3" xr3:uid="{00000000-0010-0000-0B00-000003000000}" name="May"/>
    <tableColumn id="4" xr3:uid="{00000000-0010-0000-0B00-000004000000}" name="Jun"/>
    <tableColumn id="5" xr3:uid="{00000000-0010-0000-0B00-000005000000}" name="Jul"/>
    <tableColumn id="6" xr3:uid="{00000000-0010-0000-0B00-000006000000}" name="Aug"/>
    <tableColumn id="7" xr3:uid="{00000000-0010-0000-0B00-000007000000}" name="Sep"/>
    <tableColumn id="8" xr3:uid="{00000000-0010-0000-0B00-000008000000}" name="Notes"/>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_Ionic_Params" displayName="tbl_Ionic_Params" ref="A16:H20">
  <autoFilter ref="A16:H20" xr:uid="{00000000-0009-0000-0100-00000D000000}"/>
  <tableColumns count="8">
    <tableColumn id="1" xr3:uid="{00000000-0010-0000-0C00-000001000000}" name="Parameter"/>
    <tableColumn id="2" xr3:uid="{00000000-0010-0000-0C00-000002000000}" name="Unit"/>
    <tableColumn id="3" xr3:uid="{00000000-0010-0000-0C00-000003000000}" name="Min"/>
    <tableColumn id="4" xr3:uid="{00000000-0010-0000-0C00-000004000000}" name="Mode"/>
    <tableColumn id="5" xr3:uid="{00000000-0010-0000-0C00-000005000000}" name="Max"/>
    <tableColumn id="6" xr3:uid="{00000000-0010-0000-0C00-000006000000}" name="Threshold"/>
    <tableColumn id="7" xr3:uid="{00000000-0010-0000-0C00-000007000000}" name="Direction"/>
    <tableColumn id="8" xr3:uid="{00000000-0010-0000-0C00-000008000000}" name="Notes"/>
  </tableColumns>
  <tableStyleInfo name="TableStyleMedium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_ValueScenarios" displayName="tbl_ValueScenarios" ref="A9:E13">
  <autoFilter ref="A9:E13" xr:uid="{00000000-0009-0000-0100-00000E000000}"/>
  <tableColumns count="5">
    <tableColumn id="1" xr3:uid="{00000000-0010-0000-0D00-000001000000}" name="ID"/>
    <tableColumn id="2" xr3:uid="{00000000-0010-0000-0D00-000002000000}" name="Name"/>
    <tableColumn id="3" xr3:uid="{00000000-0010-0000-0D00-000003000000}" name="Base_Value"/>
    <tableColumn id="4" xr3:uid="{00000000-0010-0000-0D00-000004000000}" name="Required_Response_Days"/>
    <tableColumn id="5" xr3:uid="{00000000-0010-0000-0D00-000005000000}" name="Description"/>
  </tableColumns>
  <tableStyleInfo name="TableStyleMedium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ModelScenarios" displayName="tbl_ModelScenarios" ref="A22:D25">
  <autoFilter ref="A22:D25" xr:uid="{00000000-0009-0000-0100-00000F000000}"/>
  <tableColumns count="4">
    <tableColumn id="1" xr3:uid="{00000000-0010-0000-0E00-000001000000}" name="Scenario"/>
    <tableColumn id="2" xr3:uid="{00000000-0010-0000-0E00-000002000000}" name="Discount_Adj"/>
    <tableColumn id="3" xr3:uid="{00000000-0010-0000-0E00-000003000000}" name="Growth_Adj"/>
    <tableColumn id="4" xr3:uid="{00000000-0010-0000-0E00-000004000000}" name="Risk_Adj"/>
  </tableColumns>
  <tableStyleInfo name="TableStyleMedium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Triangular" displayName="tbl_Triangular" ref="A9:F13">
  <autoFilter ref="A9:F13" xr:uid="{00000000-0009-0000-0100-000010000000}"/>
  <tableColumns count="6">
    <tableColumn id="1" xr3:uid="{00000000-0010-0000-0F00-000001000000}" name="Variable"/>
    <tableColumn id="2" xr3:uid="{00000000-0010-0000-0F00-000002000000}" name="Min"/>
    <tableColumn id="3" xr3:uid="{00000000-0010-0000-0F00-000003000000}" name="Mode"/>
    <tableColumn id="4" xr3:uid="{00000000-0010-0000-0F00-000004000000}" name="Max"/>
    <tableColumn id="5" xr3:uid="{00000000-0010-0000-0F00-000005000000}" name="Units"/>
    <tableColumn id="6" xr3:uid="{00000000-0010-0000-0F00-000006000000}" name="Referenced By"/>
  </tableColumns>
  <tableStyleInfo name="TableStyleMedium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Beta" displayName="tbl_Beta" ref="A22:G23">
  <autoFilter ref="A22:G23" xr:uid="{00000000-0009-0000-0100-000011000000}"/>
  <tableColumns count="7">
    <tableColumn id="1" xr3:uid="{00000000-0010-0000-1000-000001000000}" name="Variable"/>
    <tableColumn id="2" xr3:uid="{00000000-0010-0000-1000-000002000000}" name="Alpha"/>
    <tableColumn id="3" xr3:uid="{00000000-0010-0000-1000-000003000000}" name="Beta"/>
    <tableColumn id="4" xr3:uid="{00000000-0010-0000-1000-000004000000}" name="Min"/>
    <tableColumn id="5" xr3:uid="{00000000-0010-0000-1000-000005000000}" name="Max"/>
    <tableColumn id="6" xr3:uid="{00000000-0010-0000-1000-000006000000}" name="Units"/>
    <tableColumn id="7" xr3:uid="{00000000-0010-0000-1000-000007000000}" name="Referenced By"/>
  </tableColumns>
  <tableStyleInfo name="TableStyleMedium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bl_ValueSensitivity" displayName="tbl_ValueSensitivity" ref="A32:E35">
  <autoFilter ref="A32:E35" xr:uid="{00000000-0009-0000-0100-000012000000}"/>
  <tableColumns count="5">
    <tableColumn id="1" xr3:uid="{00000000-0010-0000-1100-000001000000}" name="Frame"/>
    <tableColumn id="2" xr3:uid="{00000000-0010-0000-1100-000002000000}" name="Low"/>
    <tableColumn id="3" xr3:uid="{00000000-0010-0000-1100-000003000000}" name="Base"/>
    <tableColumn id="4" xr3:uid="{00000000-0010-0000-1100-000004000000}" name="High"/>
    <tableColumn id="5" xr3:uid="{00000000-0010-0000-1100-000005000000}" name="Context"/>
  </tableColumns>
  <tableStyleInfo name="TableStyleMedium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bl_Timeline" displayName="tbl_Timeline" ref="A12:E18">
  <autoFilter ref="A12:E18" xr:uid="{00000000-0009-0000-0100-000013000000}"/>
  <tableColumns count="5">
    <tableColumn id="1" xr3:uid="{00000000-0010-0000-1200-000001000000}" name="Year_Index"/>
    <tableColumn id="2" xr3:uid="{00000000-0010-0000-1200-000002000000}" name="Calendar_Year"/>
    <tableColumn id="3" xr3:uid="{00000000-0010-0000-1200-000003000000}" name="Treatment_Days"/>
    <tableColumn id="4" xr3:uid="{00000000-0010-0000-1200-000004000000}" name="Discount_Factor"/>
    <tableColumn id="5" xr3:uid="{00000000-0010-0000-1200-000005000000}" name="Learning_Mult"/>
  </tableColumns>
  <tableStyleInfo name="TableStyleMedium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bl_Rate_Modifiers" displayName="tbl_Rate_Modifiers" ref="A7:E12">
  <autoFilter ref="A7:E12" xr:uid="{00000000-0009-0000-0100-000014000000}"/>
  <tableColumns count="5">
    <tableColumn id="1" xr3:uid="{00000000-0010-0000-1300-000001000000}" name="Modifier"/>
    <tableColumn id="2" xr3:uid="{00000000-0010-0000-1300-000002000000}" name="Formula"/>
    <tableColumn id="3" xr3:uid="{00000000-0010-0000-1300-000003000000}" name="Value"/>
    <tableColumn id="4" xr3:uid="{00000000-0010-0000-1300-000004000000}" name="Unit"/>
    <tableColumn id="5" xr3:uid="{00000000-0010-0000-1300-000005000000}" name="Notes"/>
  </tableColumns>
  <tableStyleInfo name="TableStyleMedium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bl_Stochastic" displayName="tbl_Stochastic" ref="A13:C18">
  <autoFilter ref="A13:C18" xr:uid="{00000000-0009-0000-0100-000015000000}"/>
  <tableColumns count="3">
    <tableColumn id="1" xr3:uid="{00000000-0010-0000-1400-000001000000}" name="Variable"/>
    <tableColumn id="2" xr3:uid="{00000000-0010-0000-1400-000002000000}" name="Random_U"/>
    <tableColumn id="3" xr3:uid="{00000000-0010-0000-1400-000003000000}" name="Realized_Value"/>
  </tableColumns>
  <tableStyleInfo name="TableStyleMedium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bl_Compliance_Gates" displayName="tbl_Compliance_Gates" ref="A7:F20">
  <autoFilter ref="A7:F20" xr:uid="{00000000-0009-0000-0100-000016000000}"/>
  <tableColumns count="6">
    <tableColumn id="1" xr3:uid="{00000000-0010-0000-1500-000001000000}" name="Gate"/>
    <tableColumn id="2" xr3:uid="{00000000-0010-0000-1500-000002000000}" name="Threshold"/>
    <tableColumn id="3" xr3:uid="{00000000-0010-0000-1500-000003000000}" name="Direction"/>
    <tableColumn id="4" xr3:uid="{00000000-0010-0000-1500-000004000000}" name="Value"/>
    <tableColumn id="5" xr3:uid="{00000000-0010-0000-1500-000005000000}" name="Status"/>
    <tableColumn id="6" xr3:uid="{00000000-0010-0000-1500-000006000000}" name="Notes"/>
  </tableColumns>
  <tableStyleInfo name="TableStyleMedium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bl_GatedValues" displayName="tbl_GatedValues" ref="A12:E16">
  <autoFilter ref="A12:E16" xr:uid="{00000000-0009-0000-0100-000017000000}"/>
  <tableColumns count="5">
    <tableColumn id="1" xr3:uid="{00000000-0010-0000-1600-000001000000}" name="Scenario"/>
    <tableColumn id="2" xr3:uid="{00000000-0010-0000-1600-000002000000}" name="Base_Value"/>
    <tableColumn id="3" xr3:uid="{00000000-0010-0000-1600-000003000000}" name="Gate_Status"/>
    <tableColumn id="4" xr3:uid="{00000000-0010-0000-1600-000004000000}" name="Stoch_Mult"/>
    <tableColumn id="5" xr3:uid="{00000000-0010-0000-1600-000005000000}" name="Gated_Value"/>
  </tableColumns>
  <tableStyleInfo name="TableStyleMedium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bl_CostCalc" displayName="tbl_CostCalc" ref="A12:C19">
  <autoFilter ref="A12:C19" xr:uid="{00000000-0009-0000-0100-000018000000}"/>
  <tableColumns count="3">
    <tableColumn id="1" xr3:uid="{00000000-0010-0000-1700-000001000000}" name="Component"/>
    <tableColumn id="2" xr3:uid="{00000000-0010-0000-1700-000002000000}" name="Formula"/>
    <tableColumn id="3" xr3:uid="{00000000-0010-0000-1700-000003000000}" name="Value"/>
  </tableColumns>
  <tableStyleInfo name="TableStyleMedium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bl_Annual" displayName="tbl_Annual" ref="A12:J17">
  <autoFilter ref="A12:J17" xr:uid="{00000000-0009-0000-0100-000019000000}"/>
  <tableColumns count="10">
    <tableColumn id="1" xr3:uid="{00000000-0010-0000-1800-000001000000}" name="Year"/>
    <tableColumn id="2" xr3:uid="{00000000-0010-0000-1800-000002000000}" name="S1_Value"/>
    <tableColumn id="3" xr3:uid="{00000000-0010-0000-1800-000003000000}" name="S2_Value"/>
    <tableColumn id="4" xr3:uid="{00000000-0010-0000-1800-000004000000}" name="S3_Value"/>
    <tableColumn id="5" xr3:uid="{00000000-0010-0000-1800-000005000000}" name="S4_Value"/>
    <tableColumn id="6" xr3:uid="{00000000-0010-0000-1800-000006000000}" name="Gross_Value"/>
    <tableColumn id="7" xr3:uid="{00000000-0010-0000-1800-000007000000}" name="Costs"/>
    <tableColumn id="8" xr3:uid="{00000000-0010-0000-1800-000008000000}" name="Net_Annual"/>
    <tableColumn id="9" xr3:uid="{00000000-0010-0000-1800-000009000000}" name="Discount_Factor"/>
    <tableColumn id="10" xr3:uid="{00000000-0010-0000-1800-00000A000000}" name="Discounted"/>
  </tableColumns>
  <tableStyleInfo name="TableStyleMedium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bl_CashFlow" displayName="tbl_CashFlow" ref="A12:D17">
  <autoFilter ref="A12:D17" xr:uid="{00000000-0009-0000-0100-00001A000000}"/>
  <tableColumns count="4">
    <tableColumn id="1" xr3:uid="{00000000-0010-0000-1900-000001000000}" name="Year"/>
    <tableColumn id="2" xr3:uid="{00000000-0010-0000-1900-000002000000}" name="Annual_Net"/>
    <tableColumn id="3" xr3:uid="{00000000-0010-0000-1900-000003000000}" name="Cumulative_Net"/>
    <tableColumn id="4" xr3:uid="{00000000-0010-0000-1900-000004000000}" name="Cumulative_NPV"/>
  </tableColumns>
  <tableStyleInfo name="TableStyleMedium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bl_UnitEconomics" displayName="tbl_UnitEconomics" ref="A12:D21">
  <autoFilter ref="A12:D21" xr:uid="{00000000-0009-0000-0100-00001B000000}"/>
  <tableColumns count="4">
    <tableColumn id="1" xr3:uid="{00000000-0010-0000-1A00-000001000000}" name="Metric"/>
    <tableColumn id="2" xr3:uid="{00000000-0010-0000-1A00-000002000000}" name="Value"/>
    <tableColumn id="3" xr3:uid="{00000000-0010-0000-1A00-000003000000}" name="Unit"/>
    <tableColumn id="4" xr3:uid="{00000000-0010-0000-1A00-000004000000}" name="Formula"/>
  </tableColumns>
  <tableStyleInfo name="TableStyleMedium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bl_Sensitivity" displayName="tbl_Sensitivity" ref="A12:G16">
  <autoFilter ref="A12:G16" xr:uid="{00000000-0009-0000-0100-00001C000000}"/>
  <tableColumns count="7">
    <tableColumn id="1" xr3:uid="{00000000-0010-0000-1B00-000001000000}" name="Parameter"/>
    <tableColumn id="2" xr3:uid="{00000000-0010-0000-1B00-000002000000}" name="Low"/>
    <tableColumn id="3" xr3:uid="{00000000-0010-0000-1B00-000003000000}" name="Base"/>
    <tableColumn id="4" xr3:uid="{00000000-0010-0000-1B00-000004000000}" name="High"/>
    <tableColumn id="5" xr3:uid="{00000000-0010-0000-1B00-000005000000}" name="NPV_at_Low"/>
    <tableColumn id="6" xr3:uid="{00000000-0010-0000-1B00-000006000000}" name="NPV_at_High"/>
    <tableColumn id="7" xr3:uid="{00000000-0010-0000-1B00-000007000000}" name="Swing"/>
  </tableColumns>
  <tableStyleInfo name="TableStyleMedium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bl_KPIs" displayName="tbl_KPIs" ref="A12:B22">
  <autoFilter ref="A12:B22" xr:uid="{00000000-0009-0000-0100-00001D000000}"/>
  <tableColumns count="2">
    <tableColumn id="1" xr3:uid="{00000000-0010-0000-1C00-000001000000}" name="Metric"/>
    <tableColumn id="2" xr3:uid="{00000000-0010-0000-1C00-000002000000}" name="Value"/>
  </tableColumns>
  <tableStyleInfo name="TableStyleMedium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bl_ScenarioBreakdown" displayName="tbl_ScenarioBreakdown" ref="A30:C34">
  <autoFilter ref="A30:C34" xr:uid="{00000000-0009-0000-0100-00001E000000}"/>
  <tableColumns count="3">
    <tableColumn id="1" xr3:uid="{00000000-0010-0000-1D00-000001000000}" name="Scenario"/>
    <tableColumn id="2" xr3:uid="{00000000-0010-0000-1D00-000002000000}" name="Gated_Value"/>
    <tableColumn id="3" xr3:uid="{00000000-0010-0000-1D00-000003000000}" name="Status"/>
  </tableColumns>
  <tableStyleInfo name="TableStyleMedium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bl_TreatmentKPIs" displayName="tbl_TreatmentKPIs" ref="A42:C50">
  <autoFilter ref="A42:C50" xr:uid="{00000000-0009-0000-0100-00001F000000}"/>
  <tableColumns count="3">
    <tableColumn id="1" xr3:uid="{00000000-0010-0000-1E00-000001000000}" name="Metric"/>
    <tableColumn id="2" xr3:uid="{00000000-0010-0000-1E00-000002000000}" name="Value"/>
    <tableColumn id="3" xr3:uid="{00000000-0010-0000-1E00-000003000000}" name="Status"/>
  </tableColumns>
  <tableStyleInfo name="TableStyleMedium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bl_OptionComparison" displayName="tbl_OptionComparison" ref="A58:D64">
  <autoFilter ref="A58:D64" xr:uid="{00000000-0009-0000-0100-000020000000}"/>
  <tableColumns count="4">
    <tableColumn id="1" xr3:uid="{00000000-0010-0000-1F00-000001000000}" name="Metric"/>
    <tableColumn id="2" xr3:uid="{00000000-0010-0000-1F00-000002000000}" name="Monthly_HRMS"/>
    <tableColumn id="3" xr3:uid="{00000000-0010-0000-1F00-000003000000}" name="Weekly_HRMS"/>
    <tableColumn id="4" xr3:uid="{00000000-0010-0000-1F00-000004000000}" name="Daily_Biosensor"/>
  </tableColumns>
  <tableStyleInfo name="TableStyleMedium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bl_Checks" displayName="tbl_Checks" ref="A12:D28">
  <autoFilter ref="A12:D28" xr:uid="{00000000-0009-0000-0100-000021000000}"/>
  <tableColumns count="4">
    <tableColumn id="1" xr3:uid="{00000000-0010-0000-2000-000001000000}" name="Check_ID"/>
    <tableColumn id="2" xr3:uid="{00000000-0010-0000-2000-000002000000}" name="Category"/>
    <tableColumn id="3" xr3:uid="{00000000-0010-0000-2000-000003000000}" name="Description"/>
    <tableColumn id="4" xr3:uid="{00000000-0010-0000-2000-000004000000}" name="Statu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4" Type="http://schemas.openxmlformats.org/officeDocument/2006/relationships/table" Target="../tables/table3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29"/>
  <sheetViews>
    <sheetView workbookViewId="0"/>
  </sheetViews>
  <sheetFormatPr baseColWidth="10" defaultColWidth="8.83203125" defaultRowHeight="15" x14ac:dyDescent="0.2"/>
  <cols>
    <col min="1" max="1" width="20" customWidth="1"/>
    <col min="2" max="2" width="45" customWidth="1"/>
  </cols>
  <sheetData>
    <row r="1" spans="1:2" ht="26" x14ac:dyDescent="0.3">
      <c r="A1" s="1" t="s">
        <v>0</v>
      </c>
    </row>
    <row r="2" spans="1:2" ht="16" x14ac:dyDescent="0.2">
      <c r="A2" s="2" t="s">
        <v>1</v>
      </c>
    </row>
    <row r="4" spans="1:2" x14ac:dyDescent="0.2">
      <c r="A4" t="s">
        <v>2</v>
      </c>
      <c r="B4" t="s">
        <v>3</v>
      </c>
    </row>
    <row r="5" spans="1:2" x14ac:dyDescent="0.2">
      <c r="A5" t="s">
        <v>4</v>
      </c>
      <c r="B5" s="3">
        <f ca="1">TODAY()</f>
        <v>46053</v>
      </c>
    </row>
    <row r="6" spans="1:2" x14ac:dyDescent="0.2">
      <c r="A6" t="s">
        <v>5</v>
      </c>
      <c r="B6" t="s">
        <v>6</v>
      </c>
    </row>
    <row r="8" spans="1:2" ht="19" x14ac:dyDescent="0.25">
      <c r="A8" s="4" t="s">
        <v>7</v>
      </c>
    </row>
    <row r="9" spans="1:2" x14ac:dyDescent="0.2">
      <c r="A9" t="s">
        <v>8</v>
      </c>
      <c r="B9" t="str">
        <f ca="1">IF(COUNTIF('21_Checks'!D:D,"FAIL")=0, "All Checks Pass", "Review 21_Checks")</f>
        <v>All Checks Pass</v>
      </c>
    </row>
    <row r="10" spans="1:2" x14ac:dyDescent="0.2">
      <c r="A10" t="s">
        <v>9</v>
      </c>
      <c r="B10">
        <f ca="1">COUNTIF('21_Checks'!D:D,"FAIL")</f>
        <v>0</v>
      </c>
    </row>
    <row r="12" spans="1:2" ht="19" x14ac:dyDescent="0.25">
      <c r="A12" s="4" t="s">
        <v>10</v>
      </c>
    </row>
    <row r="13" spans="1:2" x14ac:dyDescent="0.2">
      <c r="A13" t="s">
        <v>11</v>
      </c>
      <c r="B13" t="s">
        <v>12</v>
      </c>
    </row>
    <row r="14" spans="1:2" x14ac:dyDescent="0.2">
      <c r="A14" t="s">
        <v>13</v>
      </c>
      <c r="B14" t="s">
        <v>14</v>
      </c>
    </row>
    <row r="15" spans="1:2" x14ac:dyDescent="0.2">
      <c r="A15" t="s">
        <v>15</v>
      </c>
      <c r="B15" t="s">
        <v>16</v>
      </c>
    </row>
    <row r="16" spans="1:2" x14ac:dyDescent="0.2">
      <c r="A16" t="s">
        <v>17</v>
      </c>
      <c r="B16" t="s">
        <v>18</v>
      </c>
    </row>
    <row r="17" spans="1:2" x14ac:dyDescent="0.2">
      <c r="A17" t="s">
        <v>19</v>
      </c>
      <c r="B17" t="s">
        <v>20</v>
      </c>
    </row>
    <row r="18" spans="1:2" x14ac:dyDescent="0.2">
      <c r="A18" t="s">
        <v>21</v>
      </c>
      <c r="B18" t="s">
        <v>22</v>
      </c>
    </row>
    <row r="19" spans="1:2" x14ac:dyDescent="0.2">
      <c r="A19" t="s">
        <v>23</v>
      </c>
      <c r="B19" t="s">
        <v>24</v>
      </c>
    </row>
    <row r="20" spans="1:2" x14ac:dyDescent="0.2">
      <c r="A20" t="s">
        <v>25</v>
      </c>
      <c r="B20" t="s">
        <v>26</v>
      </c>
    </row>
    <row r="21" spans="1:2" x14ac:dyDescent="0.2">
      <c r="A21" t="s">
        <v>27</v>
      </c>
      <c r="B21" t="s">
        <v>28</v>
      </c>
    </row>
    <row r="22" spans="1:2" x14ac:dyDescent="0.2">
      <c r="A22" t="s">
        <v>29</v>
      </c>
      <c r="B22" t="s">
        <v>30</v>
      </c>
    </row>
    <row r="23" spans="1:2" x14ac:dyDescent="0.2">
      <c r="A23" t="s">
        <v>31</v>
      </c>
      <c r="B23" t="s">
        <v>32</v>
      </c>
    </row>
    <row r="24" spans="1:2" x14ac:dyDescent="0.2">
      <c r="A24" t="s">
        <v>33</v>
      </c>
      <c r="B24" t="s">
        <v>34</v>
      </c>
    </row>
    <row r="25" spans="1:2" x14ac:dyDescent="0.2">
      <c r="A25" t="s">
        <v>35</v>
      </c>
      <c r="B25" t="s">
        <v>36</v>
      </c>
    </row>
    <row r="26" spans="1:2" x14ac:dyDescent="0.2">
      <c r="A26" t="s">
        <v>37</v>
      </c>
      <c r="B26" t="s">
        <v>38</v>
      </c>
    </row>
    <row r="27" spans="1:2" x14ac:dyDescent="0.2">
      <c r="A27" t="s">
        <v>39</v>
      </c>
      <c r="B27" t="s">
        <v>40</v>
      </c>
    </row>
    <row r="28" spans="1:2" x14ac:dyDescent="0.2">
      <c r="A28" t="s">
        <v>41</v>
      </c>
      <c r="B28" t="s">
        <v>42</v>
      </c>
    </row>
    <row r="29" spans="1:2" x14ac:dyDescent="0.2">
      <c r="A29" t="s">
        <v>43</v>
      </c>
      <c r="B29" t="s">
        <v>44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D14"/>
  <sheetViews>
    <sheetView workbookViewId="0"/>
  </sheetViews>
  <sheetFormatPr baseColWidth="10" defaultColWidth="8.83203125" defaultRowHeight="15" x14ac:dyDescent="0.2"/>
  <cols>
    <col min="1" max="1" width="20" customWidth="1"/>
    <col min="2" max="2" width="18" customWidth="1"/>
    <col min="3" max="3" width="12" customWidth="1"/>
    <col min="4" max="4" width="35" customWidth="1"/>
  </cols>
  <sheetData>
    <row r="1" spans="1:4" ht="21" x14ac:dyDescent="0.25">
      <c r="A1" s="5" t="s">
        <v>45</v>
      </c>
    </row>
    <row r="3" spans="1:4" x14ac:dyDescent="0.2">
      <c r="A3" s="6" t="s">
        <v>45</v>
      </c>
    </row>
    <row r="4" spans="1:4" ht="31.25" customHeight="1" x14ac:dyDescent="0.2">
      <c r="A4" s="7" t="s">
        <v>46</v>
      </c>
      <c r="B4" s="31" t="s">
        <v>47</v>
      </c>
      <c r="C4" s="32"/>
      <c r="D4" s="32"/>
    </row>
    <row r="5" spans="1:4" ht="15.5" customHeight="1" x14ac:dyDescent="0.2">
      <c r="A5" s="7" t="s">
        <v>48</v>
      </c>
      <c r="B5" s="31" t="s">
        <v>49</v>
      </c>
      <c r="C5" s="32"/>
      <c r="D5" s="32"/>
    </row>
    <row r="6" spans="1:4" ht="78" customHeight="1" x14ac:dyDescent="0.2">
      <c r="A6" s="7" t="s">
        <v>50</v>
      </c>
      <c r="B6" s="31" t="s">
        <v>51</v>
      </c>
      <c r="C6" s="32"/>
      <c r="D6" s="32"/>
    </row>
    <row r="7" spans="1:4" ht="15.5" customHeight="1" x14ac:dyDescent="0.2">
      <c r="A7" s="7" t="s">
        <v>52</v>
      </c>
      <c r="B7" s="31" t="s">
        <v>53</v>
      </c>
      <c r="C7" s="32"/>
      <c r="D7" s="32"/>
    </row>
    <row r="8" spans="1:4" ht="15.5" customHeight="1" x14ac:dyDescent="0.2">
      <c r="A8" s="7" t="s">
        <v>54</v>
      </c>
      <c r="B8" s="31" t="s">
        <v>55</v>
      </c>
      <c r="C8" s="32"/>
      <c r="D8" s="32"/>
    </row>
    <row r="9" spans="1:4" x14ac:dyDescent="0.2">
      <c r="A9" s="8" t="s">
        <v>56</v>
      </c>
      <c r="B9" s="8" t="s">
        <v>57</v>
      </c>
      <c r="C9" s="8" t="s">
        <v>58</v>
      </c>
      <c r="D9" s="8" t="s">
        <v>59</v>
      </c>
    </row>
    <row r="10" spans="1:4" x14ac:dyDescent="0.2">
      <c r="A10" t="s">
        <v>60</v>
      </c>
      <c r="B10" s="9" t="s">
        <v>61</v>
      </c>
      <c r="C10" t="s">
        <v>62</v>
      </c>
      <c r="D10" t="s">
        <v>63</v>
      </c>
    </row>
    <row r="11" spans="1:4" x14ac:dyDescent="0.2">
      <c r="A11" t="s">
        <v>64</v>
      </c>
      <c r="B11" s="9" t="s">
        <v>65</v>
      </c>
      <c r="C11" t="s">
        <v>62</v>
      </c>
      <c r="D11" t="s">
        <v>66</v>
      </c>
    </row>
    <row r="12" spans="1:4" x14ac:dyDescent="0.2">
      <c r="A12" t="s">
        <v>67</v>
      </c>
      <c r="B12" s="10">
        <v>4.8000000000000001E-2</v>
      </c>
      <c r="C12" t="s">
        <v>68</v>
      </c>
      <c r="D12" t="s">
        <v>69</v>
      </c>
    </row>
    <row r="13" spans="1:4" x14ac:dyDescent="0.2">
      <c r="A13" t="s">
        <v>70</v>
      </c>
      <c r="B13" s="9">
        <v>5</v>
      </c>
      <c r="C13" t="s">
        <v>71</v>
      </c>
      <c r="D13" t="s">
        <v>72</v>
      </c>
    </row>
    <row r="14" spans="1:4" x14ac:dyDescent="0.2">
      <c r="A14" t="s">
        <v>73</v>
      </c>
      <c r="B14" s="9">
        <v>2026</v>
      </c>
      <c r="C14" t="s">
        <v>74</v>
      </c>
      <c r="D14" t="s">
        <v>75</v>
      </c>
    </row>
  </sheetData>
  <mergeCells count="5">
    <mergeCell ref="B5:D5"/>
    <mergeCell ref="B8:D8"/>
    <mergeCell ref="B4:D4"/>
    <mergeCell ref="B7:D7"/>
    <mergeCell ref="B6:D6"/>
  </mergeCells>
  <dataValidations count="2">
    <dataValidation type="list" errorTitle="Invalid Input" error="Select from dropdown" sqref="B5" xr:uid="{00000000-0002-0000-0100-000000000000}">
      <formula1>List_TestingOptions</formula1>
    </dataValidation>
    <dataValidation type="list" sqref="B6" xr:uid="{00000000-0002-0000-0100-000001000000}">
      <formula1>List_Scenarios</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08080"/>
  </sheetPr>
  <dimension ref="A1:D88"/>
  <sheetViews>
    <sheetView workbookViewId="0"/>
  </sheetViews>
  <sheetFormatPr baseColWidth="10" defaultColWidth="8.83203125" defaultRowHeight="15" x14ac:dyDescent="0.2"/>
  <cols>
    <col min="1" max="1" width="35" customWidth="1"/>
    <col min="2" max="2" width="30" customWidth="1"/>
    <col min="3" max="3" width="50" customWidth="1"/>
    <col min="4" max="4" width="15" customWidth="1"/>
  </cols>
  <sheetData>
    <row r="1" spans="1:1" ht="21" x14ac:dyDescent="0.25">
      <c r="A1" s="5" t="s">
        <v>76</v>
      </c>
    </row>
    <row r="3" spans="1:1" ht="19" x14ac:dyDescent="0.25">
      <c r="A3" s="4" t="s">
        <v>77</v>
      </c>
    </row>
    <row r="4" spans="1:1" x14ac:dyDescent="0.2">
      <c r="A4" t="s">
        <v>78</v>
      </c>
    </row>
    <row r="5" spans="1:1" x14ac:dyDescent="0.2">
      <c r="A5" t="s">
        <v>79</v>
      </c>
    </row>
    <row r="6" spans="1:1" x14ac:dyDescent="0.2">
      <c r="A6" t="s">
        <v>80</v>
      </c>
    </row>
    <row r="7" spans="1:1" x14ac:dyDescent="0.2">
      <c r="A7" t="s">
        <v>81</v>
      </c>
    </row>
    <row r="9" spans="1:1" ht="19" x14ac:dyDescent="0.25">
      <c r="A9" s="4" t="s">
        <v>82</v>
      </c>
    </row>
    <row r="10" spans="1:1" x14ac:dyDescent="0.2">
      <c r="A10" t="s">
        <v>83</v>
      </c>
    </row>
    <row r="11" spans="1:1" x14ac:dyDescent="0.2">
      <c r="A11" t="s">
        <v>84</v>
      </c>
    </row>
    <row r="12" spans="1:1" x14ac:dyDescent="0.2">
      <c r="A12" t="s">
        <v>85</v>
      </c>
    </row>
    <row r="13" spans="1:1" x14ac:dyDescent="0.2">
      <c r="A13" t="s">
        <v>86</v>
      </c>
    </row>
    <row r="14" spans="1:1" x14ac:dyDescent="0.2">
      <c r="A14" t="s">
        <v>87</v>
      </c>
    </row>
    <row r="15" spans="1:1" x14ac:dyDescent="0.2">
      <c r="A15" t="s">
        <v>88</v>
      </c>
    </row>
    <row r="16" spans="1:1" x14ac:dyDescent="0.2">
      <c r="A16" t="s">
        <v>89</v>
      </c>
    </row>
    <row r="17" spans="1:4" x14ac:dyDescent="0.2">
      <c r="A17" t="s">
        <v>90</v>
      </c>
    </row>
    <row r="19" spans="1:4" ht="19" x14ac:dyDescent="0.25">
      <c r="A19" s="4" t="s">
        <v>91</v>
      </c>
    </row>
    <row r="20" spans="1:4" x14ac:dyDescent="0.2">
      <c r="A20" t="s">
        <v>92</v>
      </c>
    </row>
    <row r="21" spans="1:4" x14ac:dyDescent="0.2">
      <c r="A21" s="8" t="s">
        <v>93</v>
      </c>
      <c r="B21" s="8" t="s">
        <v>94</v>
      </c>
      <c r="C21" s="8" t="s">
        <v>95</v>
      </c>
      <c r="D21" s="8" t="s">
        <v>96</v>
      </c>
    </row>
    <row r="22" spans="1:4" x14ac:dyDescent="0.2">
      <c r="A22" t="s">
        <v>97</v>
      </c>
      <c r="B22" t="s">
        <v>98</v>
      </c>
      <c r="C22" t="s">
        <v>99</v>
      </c>
      <c r="D22" t="s">
        <v>100</v>
      </c>
    </row>
    <row r="23" spans="1:4" x14ac:dyDescent="0.2">
      <c r="A23" t="s">
        <v>101</v>
      </c>
      <c r="B23" t="s">
        <v>98</v>
      </c>
      <c r="C23" t="s">
        <v>99</v>
      </c>
      <c r="D23" t="s">
        <v>100</v>
      </c>
    </row>
    <row r="24" spans="1:4" x14ac:dyDescent="0.2">
      <c r="A24" t="s">
        <v>102</v>
      </c>
      <c r="B24" t="s">
        <v>103</v>
      </c>
      <c r="C24" t="s">
        <v>99</v>
      </c>
      <c r="D24" t="s">
        <v>100</v>
      </c>
    </row>
    <row r="25" spans="1:4" x14ac:dyDescent="0.2">
      <c r="A25" t="s">
        <v>104</v>
      </c>
      <c r="B25" t="s">
        <v>105</v>
      </c>
      <c r="C25" t="s">
        <v>99</v>
      </c>
      <c r="D25" t="s">
        <v>100</v>
      </c>
    </row>
    <row r="27" spans="1:4" ht="19" x14ac:dyDescent="0.25">
      <c r="A27" s="4" t="s">
        <v>106</v>
      </c>
    </row>
    <row r="28" spans="1:4" x14ac:dyDescent="0.2">
      <c r="A28" s="11" t="s">
        <v>107</v>
      </c>
      <c r="B28" t="s">
        <v>108</v>
      </c>
    </row>
    <row r="29" spans="1:4" x14ac:dyDescent="0.2">
      <c r="A29" s="11" t="s">
        <v>109</v>
      </c>
      <c r="B29" t="s">
        <v>110</v>
      </c>
    </row>
    <row r="30" spans="1:4" x14ac:dyDescent="0.2">
      <c r="A30" s="11" t="s">
        <v>111</v>
      </c>
      <c r="B30" t="s">
        <v>112</v>
      </c>
    </row>
    <row r="31" spans="1:4" x14ac:dyDescent="0.2">
      <c r="A31" s="11" t="s">
        <v>113</v>
      </c>
      <c r="B31" t="s">
        <v>114</v>
      </c>
    </row>
    <row r="32" spans="1:4" x14ac:dyDescent="0.2">
      <c r="A32" s="11" t="s">
        <v>115</v>
      </c>
      <c r="B32" t="s">
        <v>116</v>
      </c>
    </row>
    <row r="33" spans="1:2" x14ac:dyDescent="0.2">
      <c r="A33" s="11" t="s">
        <v>117</v>
      </c>
      <c r="B33" t="s">
        <v>118</v>
      </c>
    </row>
    <row r="34" spans="1:2" x14ac:dyDescent="0.2">
      <c r="A34" s="11" t="s">
        <v>119</v>
      </c>
      <c r="B34" t="s">
        <v>120</v>
      </c>
    </row>
    <row r="36" spans="1:2" ht="19" x14ac:dyDescent="0.25">
      <c r="A36" s="4" t="s">
        <v>121</v>
      </c>
    </row>
    <row r="37" spans="1:2" x14ac:dyDescent="0.2">
      <c r="A37" t="s">
        <v>122</v>
      </c>
    </row>
    <row r="38" spans="1:2" x14ac:dyDescent="0.2">
      <c r="A38" t="s">
        <v>123</v>
      </c>
    </row>
    <row r="39" spans="1:2" x14ac:dyDescent="0.2">
      <c r="A39" t="s">
        <v>124</v>
      </c>
    </row>
    <row r="40" spans="1:2" x14ac:dyDescent="0.2">
      <c r="A40" t="s">
        <v>125</v>
      </c>
    </row>
    <row r="41" spans="1:2" x14ac:dyDescent="0.2">
      <c r="A41" t="s">
        <v>126</v>
      </c>
    </row>
    <row r="43" spans="1:2" ht="19" x14ac:dyDescent="0.25">
      <c r="A43" s="4" t="s">
        <v>127</v>
      </c>
    </row>
    <row r="44" spans="1:2" x14ac:dyDescent="0.2">
      <c r="A44" s="12" t="s">
        <v>128</v>
      </c>
    </row>
    <row r="45" spans="1:2" x14ac:dyDescent="0.2">
      <c r="A45" t="s">
        <v>129</v>
      </c>
    </row>
    <row r="46" spans="1:2" x14ac:dyDescent="0.2">
      <c r="A46" t="s">
        <v>130</v>
      </c>
    </row>
    <row r="47" spans="1:2" x14ac:dyDescent="0.2">
      <c r="A47" t="s">
        <v>131</v>
      </c>
    </row>
    <row r="48" spans="1:2" x14ac:dyDescent="0.2">
      <c r="A48" t="s">
        <v>132</v>
      </c>
    </row>
    <row r="50" spans="1:1" x14ac:dyDescent="0.2">
      <c r="A50" s="11" t="s">
        <v>133</v>
      </c>
    </row>
    <row r="51" spans="1:1" x14ac:dyDescent="0.2">
      <c r="A51" t="s">
        <v>134</v>
      </c>
    </row>
    <row r="52" spans="1:1" x14ac:dyDescent="0.2">
      <c r="A52" t="s">
        <v>135</v>
      </c>
    </row>
    <row r="53" spans="1:1" x14ac:dyDescent="0.2">
      <c r="A53" t="s">
        <v>136</v>
      </c>
    </row>
    <row r="55" spans="1:1" ht="19" x14ac:dyDescent="0.25">
      <c r="A55" s="4" t="s">
        <v>137</v>
      </c>
    </row>
    <row r="56" spans="1:1" x14ac:dyDescent="0.2">
      <c r="A56" s="12" t="s">
        <v>138</v>
      </c>
    </row>
    <row r="57" spans="1:1" x14ac:dyDescent="0.2">
      <c r="A57" t="s">
        <v>139</v>
      </c>
    </row>
    <row r="59" spans="1:1" x14ac:dyDescent="0.2">
      <c r="A59" s="11" t="s">
        <v>140</v>
      </c>
    </row>
    <row r="60" spans="1:1" x14ac:dyDescent="0.2">
      <c r="A60" t="s">
        <v>141</v>
      </c>
    </row>
    <row r="61" spans="1:1" x14ac:dyDescent="0.2">
      <c r="A61" t="s">
        <v>142</v>
      </c>
    </row>
    <row r="62" spans="1:1" x14ac:dyDescent="0.2">
      <c r="A62" t="s">
        <v>143</v>
      </c>
    </row>
    <row r="64" spans="1:1" x14ac:dyDescent="0.2">
      <c r="A64" s="11" t="s">
        <v>144</v>
      </c>
    </row>
    <row r="65" spans="1:1" x14ac:dyDescent="0.2">
      <c r="A65" t="s">
        <v>145</v>
      </c>
    </row>
    <row r="66" spans="1:1" x14ac:dyDescent="0.2">
      <c r="A66" t="s">
        <v>146</v>
      </c>
    </row>
    <row r="67" spans="1:1" x14ac:dyDescent="0.2">
      <c r="A67" t="s">
        <v>147</v>
      </c>
    </row>
    <row r="69" spans="1:1" x14ac:dyDescent="0.2">
      <c r="A69" s="11" t="s">
        <v>148</v>
      </c>
    </row>
    <row r="70" spans="1:1" x14ac:dyDescent="0.2">
      <c r="A70" t="s">
        <v>149</v>
      </c>
    </row>
    <row r="71" spans="1:1" x14ac:dyDescent="0.2">
      <c r="A71" t="s">
        <v>150</v>
      </c>
    </row>
    <row r="72" spans="1:1" x14ac:dyDescent="0.2">
      <c r="A72" t="s">
        <v>151</v>
      </c>
    </row>
    <row r="73" spans="1:1" x14ac:dyDescent="0.2">
      <c r="A73" t="s">
        <v>152</v>
      </c>
    </row>
    <row r="74" spans="1:1" x14ac:dyDescent="0.2">
      <c r="A74" t="s">
        <v>153</v>
      </c>
    </row>
    <row r="76" spans="1:1" x14ac:dyDescent="0.2">
      <c r="A76" s="11" t="s">
        <v>154</v>
      </c>
    </row>
    <row r="77" spans="1:1" x14ac:dyDescent="0.2">
      <c r="A77" t="s">
        <v>155</v>
      </c>
    </row>
    <row r="78" spans="1:1" x14ac:dyDescent="0.2">
      <c r="A78" t="s">
        <v>156</v>
      </c>
    </row>
    <row r="79" spans="1:1" x14ac:dyDescent="0.2">
      <c r="A79" t="s">
        <v>157</v>
      </c>
    </row>
    <row r="80" spans="1:1" x14ac:dyDescent="0.2">
      <c r="A80" t="s">
        <v>158</v>
      </c>
    </row>
    <row r="82" spans="1:3" ht="19" x14ac:dyDescent="0.25">
      <c r="A82" s="4" t="s">
        <v>159</v>
      </c>
    </row>
    <row r="83" spans="1:3" x14ac:dyDescent="0.2">
      <c r="A83" s="8" t="s">
        <v>160</v>
      </c>
      <c r="B83" s="8" t="s">
        <v>161</v>
      </c>
      <c r="C83" s="8" t="s">
        <v>162</v>
      </c>
    </row>
    <row r="84" spans="1:3" x14ac:dyDescent="0.2">
      <c r="A84" t="s">
        <v>163</v>
      </c>
      <c r="B84" t="s">
        <v>164</v>
      </c>
      <c r="C84" t="s">
        <v>165</v>
      </c>
    </row>
    <row r="85" spans="1:3" x14ac:dyDescent="0.2">
      <c r="A85" t="s">
        <v>166</v>
      </c>
      <c r="B85" t="s">
        <v>164</v>
      </c>
      <c r="C85" t="s">
        <v>167</v>
      </c>
    </row>
    <row r="86" spans="1:3" x14ac:dyDescent="0.2">
      <c r="A86" t="s">
        <v>3</v>
      </c>
      <c r="B86" t="s">
        <v>164</v>
      </c>
      <c r="C86" t="s">
        <v>168</v>
      </c>
    </row>
    <row r="87" spans="1:3" x14ac:dyDescent="0.2">
      <c r="A87" t="s">
        <v>169</v>
      </c>
      <c r="B87" t="s">
        <v>170</v>
      </c>
      <c r="C87" t="s">
        <v>171</v>
      </c>
    </row>
    <row r="88" spans="1:3" x14ac:dyDescent="0.2">
      <c r="A88" t="s">
        <v>172</v>
      </c>
      <c r="B88" t="s">
        <v>173</v>
      </c>
      <c r="C88" t="s">
        <v>174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08080"/>
  </sheetPr>
  <dimension ref="A1:D44"/>
  <sheetViews>
    <sheetView workbookViewId="0"/>
  </sheetViews>
  <sheetFormatPr baseColWidth="10" defaultColWidth="8.83203125" defaultRowHeight="15" x14ac:dyDescent="0.2"/>
  <cols>
    <col min="1" max="1" width="32" customWidth="1"/>
    <col min="2" max="3" width="18" customWidth="1"/>
    <col min="4" max="4" width="28" customWidth="1"/>
  </cols>
  <sheetData>
    <row r="1" spans="1:4" ht="21" x14ac:dyDescent="0.25">
      <c r="A1" s="5" t="s">
        <v>175</v>
      </c>
    </row>
    <row r="2" spans="1:4" x14ac:dyDescent="0.2">
      <c r="A2" s="12" t="s">
        <v>176</v>
      </c>
    </row>
    <row r="4" spans="1:4" x14ac:dyDescent="0.2">
      <c r="A4" s="8" t="s">
        <v>177</v>
      </c>
      <c r="B4" s="8" t="s">
        <v>57</v>
      </c>
      <c r="C4" s="8" t="s">
        <v>178</v>
      </c>
      <c r="D4" s="8" t="s">
        <v>179</v>
      </c>
    </row>
    <row r="5" spans="1:4" x14ac:dyDescent="0.2">
      <c r="A5" t="s">
        <v>180</v>
      </c>
      <c r="B5">
        <f>Initial_NAFC</f>
        <v>63.1</v>
      </c>
      <c r="C5" t="s">
        <v>15</v>
      </c>
      <c r="D5" t="s">
        <v>21</v>
      </c>
    </row>
    <row r="6" spans="1:4" x14ac:dyDescent="0.2">
      <c r="A6" t="s">
        <v>181</v>
      </c>
      <c r="B6">
        <f>Target_NAFC</f>
        <v>50</v>
      </c>
      <c r="C6" t="s">
        <v>15</v>
      </c>
      <c r="D6" t="s">
        <v>21</v>
      </c>
    </row>
    <row r="7" spans="1:4" x14ac:dyDescent="0.2">
      <c r="A7" t="s">
        <v>182</v>
      </c>
      <c r="B7">
        <f>Rapid_Phase_Rate</f>
        <v>0.53200000000000003</v>
      </c>
      <c r="C7" t="s">
        <v>15</v>
      </c>
      <c r="D7" t="s">
        <v>21</v>
      </c>
    </row>
    <row r="8" spans="1:4" x14ac:dyDescent="0.2">
      <c r="A8" t="s">
        <v>183</v>
      </c>
      <c r="B8">
        <f>Slow_Phase_Rate</f>
        <v>0.248</v>
      </c>
      <c r="C8" t="s">
        <v>15</v>
      </c>
      <c r="D8" t="s">
        <v>21</v>
      </c>
    </row>
    <row r="9" spans="1:4" x14ac:dyDescent="0.2">
      <c r="A9" t="s">
        <v>184</v>
      </c>
      <c r="B9">
        <f>Rapid_Phase_Duration</f>
        <v>15</v>
      </c>
      <c r="C9" t="s">
        <v>15</v>
      </c>
      <c r="D9" t="s">
        <v>21</v>
      </c>
    </row>
    <row r="10" spans="1:4" x14ac:dyDescent="0.2">
      <c r="A10" t="s">
        <v>185</v>
      </c>
      <c r="B10">
        <f>Recirculation_Cycle</f>
        <v>14</v>
      </c>
      <c r="C10" t="s">
        <v>15</v>
      </c>
      <c r="D10" t="s">
        <v>21</v>
      </c>
    </row>
    <row r="11" spans="1:4" x14ac:dyDescent="0.2">
      <c r="A11" t="s">
        <v>186</v>
      </c>
      <c r="B11">
        <f>Season_Length</f>
        <v>100</v>
      </c>
      <c r="C11" t="s">
        <v>15</v>
      </c>
      <c r="D11" t="s">
        <v>187</v>
      </c>
    </row>
    <row r="12" spans="1:4" x14ac:dyDescent="0.2">
      <c r="A12" t="s">
        <v>188</v>
      </c>
      <c r="B12" t="s">
        <v>189</v>
      </c>
      <c r="C12" t="s">
        <v>15</v>
      </c>
      <c r="D12" t="s">
        <v>21</v>
      </c>
    </row>
    <row r="13" spans="1:4" x14ac:dyDescent="0.2">
      <c r="A13" t="s">
        <v>190</v>
      </c>
      <c r="B13">
        <f>Tri_Season_Extension_Days_Min</f>
        <v>14</v>
      </c>
      <c r="C13" t="s">
        <v>19</v>
      </c>
      <c r="D13" t="s">
        <v>23</v>
      </c>
    </row>
    <row r="14" spans="1:4" x14ac:dyDescent="0.2">
      <c r="A14" t="s">
        <v>191</v>
      </c>
      <c r="B14">
        <f>Tri_Season_Extension_Days_Mode</f>
        <v>21</v>
      </c>
      <c r="C14" t="s">
        <v>19</v>
      </c>
      <c r="D14" t="s">
        <v>23</v>
      </c>
    </row>
    <row r="15" spans="1:4" x14ac:dyDescent="0.2">
      <c r="A15" t="s">
        <v>192</v>
      </c>
      <c r="B15">
        <f>Tri_Season_Extension_Days_Max</f>
        <v>35</v>
      </c>
      <c r="C15" t="s">
        <v>19</v>
      </c>
      <c r="D15" t="s">
        <v>23</v>
      </c>
    </row>
    <row r="16" spans="1:4" x14ac:dyDescent="0.2">
      <c r="A16" t="s">
        <v>193</v>
      </c>
      <c r="B16">
        <f>Tri_Extension_Value_Per_Day_Min</f>
        <v>3000</v>
      </c>
      <c r="C16" t="s">
        <v>19</v>
      </c>
      <c r="D16" t="s">
        <v>23</v>
      </c>
    </row>
    <row r="17" spans="1:4" x14ac:dyDescent="0.2">
      <c r="A17" t="s">
        <v>194</v>
      </c>
      <c r="B17">
        <f>Tri_Extension_Value_Per_Day_Mode</f>
        <v>7500</v>
      </c>
      <c r="C17" t="s">
        <v>19</v>
      </c>
      <c r="D17" t="s">
        <v>23</v>
      </c>
    </row>
    <row r="18" spans="1:4" x14ac:dyDescent="0.2">
      <c r="A18" t="s">
        <v>195</v>
      </c>
      <c r="B18">
        <f>Tri_Extension_Value_Per_Day_Max</f>
        <v>15000</v>
      </c>
      <c r="C18" t="s">
        <v>19</v>
      </c>
      <c r="D18" t="s">
        <v>23</v>
      </c>
    </row>
    <row r="19" spans="1:4" x14ac:dyDescent="0.2">
      <c r="A19" t="s">
        <v>196</v>
      </c>
      <c r="B19">
        <f>Tri_Interventions_Avoided_Min</f>
        <v>1</v>
      </c>
      <c r="C19" t="s">
        <v>19</v>
      </c>
      <c r="D19" t="s">
        <v>23</v>
      </c>
    </row>
    <row r="20" spans="1:4" x14ac:dyDescent="0.2">
      <c r="A20" t="s">
        <v>197</v>
      </c>
      <c r="B20">
        <f>Tri_Interventions_Avoided_Mode</f>
        <v>3</v>
      </c>
      <c r="C20" t="s">
        <v>19</v>
      </c>
      <c r="D20" t="s">
        <v>23</v>
      </c>
    </row>
    <row r="21" spans="1:4" x14ac:dyDescent="0.2">
      <c r="A21" t="s">
        <v>198</v>
      </c>
      <c r="B21">
        <f>Tri_Interventions_Avoided_Max</f>
        <v>8</v>
      </c>
      <c r="C21" t="s">
        <v>19</v>
      </c>
      <c r="D21" t="s">
        <v>23</v>
      </c>
    </row>
    <row r="22" spans="1:4" x14ac:dyDescent="0.2">
      <c r="A22" t="s">
        <v>199</v>
      </c>
      <c r="B22">
        <f>Tri_Treatment_Rate_Factor_Min</f>
        <v>0.7</v>
      </c>
      <c r="C22" t="s">
        <v>19</v>
      </c>
      <c r="D22" t="s">
        <v>23</v>
      </c>
    </row>
    <row r="23" spans="1:4" x14ac:dyDescent="0.2">
      <c r="A23" t="s">
        <v>200</v>
      </c>
      <c r="B23">
        <f>Tri_Treatment_Rate_Factor_Mode</f>
        <v>1</v>
      </c>
      <c r="C23" t="s">
        <v>19</v>
      </c>
      <c r="D23" t="s">
        <v>23</v>
      </c>
    </row>
    <row r="24" spans="1:4" x14ac:dyDescent="0.2">
      <c r="A24" t="s">
        <v>201</v>
      </c>
      <c r="B24">
        <f>Tri_Treatment_Rate_Factor_Max</f>
        <v>1.3</v>
      </c>
      <c r="C24" t="s">
        <v>19</v>
      </c>
      <c r="D24" t="s">
        <v>23</v>
      </c>
    </row>
    <row r="25" spans="1:4" x14ac:dyDescent="0.2">
      <c r="A25" t="s">
        <v>202</v>
      </c>
      <c r="B25">
        <f>Beta_Efficiency_Gain_Alpha</f>
        <v>2</v>
      </c>
      <c r="C25" t="s">
        <v>19</v>
      </c>
    </row>
    <row r="26" spans="1:4" x14ac:dyDescent="0.2">
      <c r="A26" t="s">
        <v>203</v>
      </c>
      <c r="B26">
        <f>Beta_Efficiency_Gain_Beta</f>
        <v>5</v>
      </c>
      <c r="C26" t="s">
        <v>19</v>
      </c>
    </row>
    <row r="27" spans="1:4" x14ac:dyDescent="0.2">
      <c r="A27" t="s">
        <v>204</v>
      </c>
      <c r="B27">
        <f>Beta_Efficiency_Gain_Min</f>
        <v>0.05</v>
      </c>
      <c r="C27" t="s">
        <v>19</v>
      </c>
      <c r="D27" t="s">
        <v>23</v>
      </c>
    </row>
    <row r="28" spans="1:4" x14ac:dyDescent="0.2">
      <c r="A28" t="s">
        <v>205</v>
      </c>
      <c r="B28">
        <f>Beta_Efficiency_Gain_Max</f>
        <v>0.4</v>
      </c>
      <c r="C28" t="s">
        <v>19</v>
      </c>
      <c r="D28" t="s">
        <v>23</v>
      </c>
    </row>
    <row r="29" spans="1:4" x14ac:dyDescent="0.2">
      <c r="A29" t="s">
        <v>206</v>
      </c>
      <c r="B29">
        <f ca="1">Eff_Rapid_Rate</f>
        <v>0.50335484984460854</v>
      </c>
      <c r="C29" t="s">
        <v>21</v>
      </c>
      <c r="D29" t="s">
        <v>21</v>
      </c>
    </row>
    <row r="30" spans="1:4" x14ac:dyDescent="0.2">
      <c r="A30" t="s">
        <v>207</v>
      </c>
      <c r="B30">
        <f ca="1">Eff_Slow_Rate</f>
        <v>0.23464662173207315</v>
      </c>
      <c r="C30" t="s">
        <v>21</v>
      </c>
      <c r="D30" t="s">
        <v>21</v>
      </c>
    </row>
    <row r="31" spans="1:4" x14ac:dyDescent="0.2">
      <c r="A31" t="s">
        <v>208</v>
      </c>
      <c r="B31">
        <f ca="1">NAFC_After_Rapid</f>
        <v>55.549677252330874</v>
      </c>
      <c r="C31" t="s">
        <v>21</v>
      </c>
      <c r="D31" t="s">
        <v>21</v>
      </c>
    </row>
    <row r="32" spans="1:4" x14ac:dyDescent="0.2">
      <c r="A32" t="s">
        <v>209</v>
      </c>
      <c r="B32">
        <f ca="1">Days_to_Compliance</f>
        <v>38.651213093822712</v>
      </c>
      <c r="C32" t="s">
        <v>21</v>
      </c>
      <c r="D32" t="s">
        <v>210</v>
      </c>
    </row>
    <row r="33" spans="1:4" x14ac:dyDescent="0.2">
      <c r="A33" t="s">
        <v>211</v>
      </c>
      <c r="B33" t="s">
        <v>189</v>
      </c>
      <c r="C33" t="s">
        <v>21</v>
      </c>
      <c r="D33" t="s">
        <v>33</v>
      </c>
    </row>
    <row r="34" spans="1:4" x14ac:dyDescent="0.2">
      <c r="A34" t="s">
        <v>212</v>
      </c>
      <c r="B34" t="s">
        <v>189</v>
      </c>
      <c r="C34" t="s">
        <v>21</v>
      </c>
      <c r="D34" t="s">
        <v>33</v>
      </c>
    </row>
    <row r="37" spans="1:4" ht="19" x14ac:dyDescent="0.25">
      <c r="A37" s="4" t="s">
        <v>213</v>
      </c>
    </row>
    <row r="38" spans="1:4" x14ac:dyDescent="0.2">
      <c r="A38" t="s">
        <v>214</v>
      </c>
    </row>
    <row r="39" spans="1:4" x14ac:dyDescent="0.2">
      <c r="A39" t="s">
        <v>215</v>
      </c>
    </row>
    <row r="41" spans="1:4" x14ac:dyDescent="0.2">
      <c r="A41" s="11" t="s">
        <v>216</v>
      </c>
    </row>
    <row r="42" spans="1:4" x14ac:dyDescent="0.2">
      <c r="A42" t="s">
        <v>217</v>
      </c>
    </row>
    <row r="43" spans="1:4" x14ac:dyDescent="0.2">
      <c r="A43" t="s">
        <v>218</v>
      </c>
    </row>
    <row r="44" spans="1:4" x14ac:dyDescent="0.2">
      <c r="A44" t="s">
        <v>219</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G126"/>
  <sheetViews>
    <sheetView workbookViewId="0"/>
  </sheetViews>
  <sheetFormatPr baseColWidth="10" defaultColWidth="8.83203125" defaultRowHeight="15" x14ac:dyDescent="0.2"/>
  <cols>
    <col min="1" max="1" width="24" customWidth="1"/>
    <col min="2" max="2" width="14" customWidth="1"/>
    <col min="3" max="3" width="12" customWidth="1"/>
    <col min="4" max="4" width="42" customWidth="1"/>
    <col min="5" max="5" width="30" customWidth="1"/>
    <col min="6" max="6" width="16" customWidth="1"/>
    <col min="7" max="7" width="14" customWidth="1"/>
  </cols>
  <sheetData>
    <row r="1" spans="1:5" ht="21" x14ac:dyDescent="0.25">
      <c r="A1" s="5" t="s">
        <v>220</v>
      </c>
    </row>
    <row r="3" spans="1:5" x14ac:dyDescent="0.2">
      <c r="A3" s="6" t="s">
        <v>221</v>
      </c>
    </row>
    <row r="4" spans="1:5" ht="15.5" customHeight="1" x14ac:dyDescent="0.2">
      <c r="A4" s="7" t="s">
        <v>46</v>
      </c>
      <c r="B4" s="31" t="s">
        <v>222</v>
      </c>
      <c r="C4" s="32"/>
      <c r="D4" s="32"/>
      <c r="E4" s="32"/>
    </row>
    <row r="5" spans="1:5" ht="15.5" customHeight="1" x14ac:dyDescent="0.2">
      <c r="A5" s="7" t="s">
        <v>48</v>
      </c>
      <c r="B5" s="31" t="s">
        <v>223</v>
      </c>
      <c r="C5" s="32"/>
      <c r="D5" s="32"/>
      <c r="E5" s="32"/>
    </row>
    <row r="6" spans="1:5" ht="31.25" customHeight="1" x14ac:dyDescent="0.2">
      <c r="A6" s="7" t="s">
        <v>50</v>
      </c>
      <c r="B6" s="31" t="s">
        <v>224</v>
      </c>
      <c r="C6" s="32"/>
      <c r="D6" s="32"/>
      <c r="E6" s="32"/>
    </row>
    <row r="7" spans="1:5" ht="15.5" customHeight="1" x14ac:dyDescent="0.2">
      <c r="A7" s="7" t="s">
        <v>52</v>
      </c>
      <c r="B7" s="31" t="s">
        <v>225</v>
      </c>
      <c r="C7" s="32"/>
      <c r="D7" s="32"/>
      <c r="E7" s="32"/>
    </row>
    <row r="8" spans="1:5" ht="15.5" customHeight="1" x14ac:dyDescent="0.2">
      <c r="A8" s="7" t="s">
        <v>54</v>
      </c>
      <c r="B8" s="31" t="s">
        <v>226</v>
      </c>
      <c r="C8" s="32"/>
      <c r="D8" s="32"/>
      <c r="E8" s="32"/>
    </row>
    <row r="9" spans="1:5" x14ac:dyDescent="0.2">
      <c r="A9" s="8" t="s">
        <v>56</v>
      </c>
      <c r="B9" s="8" t="s">
        <v>57</v>
      </c>
      <c r="C9" s="8" t="s">
        <v>227</v>
      </c>
      <c r="D9" s="8" t="s">
        <v>228</v>
      </c>
      <c r="E9" s="8" t="s">
        <v>179</v>
      </c>
    </row>
    <row r="10" spans="1:5" x14ac:dyDescent="0.2">
      <c r="A10" t="s">
        <v>229</v>
      </c>
      <c r="B10" s="9">
        <v>5</v>
      </c>
      <c r="C10" t="s">
        <v>230</v>
      </c>
      <c r="D10" t="s">
        <v>231</v>
      </c>
    </row>
    <row r="11" spans="1:5" x14ac:dyDescent="0.2">
      <c r="A11" t="s">
        <v>232</v>
      </c>
      <c r="B11" s="9">
        <v>15</v>
      </c>
      <c r="C11" t="s">
        <v>233</v>
      </c>
      <c r="D11" t="s">
        <v>234</v>
      </c>
    </row>
    <row r="12" spans="1:5" x14ac:dyDescent="0.2">
      <c r="A12" t="s">
        <v>235</v>
      </c>
      <c r="B12" s="9">
        <v>9</v>
      </c>
      <c r="C12" t="s">
        <v>230</v>
      </c>
      <c r="D12" t="s">
        <v>236</v>
      </c>
    </row>
    <row r="13" spans="1:5" x14ac:dyDescent="0.2">
      <c r="A13" t="s">
        <v>237</v>
      </c>
      <c r="B13" s="9">
        <v>15</v>
      </c>
      <c r="C13" t="s">
        <v>233</v>
      </c>
      <c r="D13" t="s">
        <v>238</v>
      </c>
    </row>
    <row r="14" spans="1:5" x14ac:dyDescent="0.2">
      <c r="A14" t="s">
        <v>239</v>
      </c>
      <c r="B14" s="9">
        <v>100</v>
      </c>
      <c r="C14" t="s">
        <v>240</v>
      </c>
      <c r="D14" t="s">
        <v>241</v>
      </c>
      <c r="E14" t="s">
        <v>187</v>
      </c>
    </row>
    <row r="16" spans="1:5" x14ac:dyDescent="0.2">
      <c r="A16" s="6" t="s">
        <v>242</v>
      </c>
    </row>
    <row r="17" spans="1:5" ht="31.25" customHeight="1" x14ac:dyDescent="0.2">
      <c r="A17" s="7" t="s">
        <v>46</v>
      </c>
      <c r="B17" s="31" t="s">
        <v>243</v>
      </c>
      <c r="C17" s="32"/>
      <c r="D17" s="32"/>
    </row>
    <row r="18" spans="1:5" ht="31.25" customHeight="1" x14ac:dyDescent="0.2">
      <c r="A18" s="7" t="s">
        <v>48</v>
      </c>
      <c r="B18" s="31" t="s">
        <v>244</v>
      </c>
      <c r="C18" s="32"/>
      <c r="D18" s="32"/>
    </row>
    <row r="19" spans="1:5" ht="31.25" customHeight="1" x14ac:dyDescent="0.2">
      <c r="A19" s="7" t="s">
        <v>50</v>
      </c>
      <c r="B19" s="31" t="s">
        <v>245</v>
      </c>
      <c r="C19" s="32"/>
      <c r="D19" s="32"/>
    </row>
    <row r="20" spans="1:5" ht="15.5" customHeight="1" x14ac:dyDescent="0.2">
      <c r="A20" s="7" t="s">
        <v>52</v>
      </c>
      <c r="B20" s="31" t="s">
        <v>246</v>
      </c>
      <c r="C20" s="32"/>
      <c r="D20" s="32"/>
    </row>
    <row r="21" spans="1:5" ht="15.5" customHeight="1" x14ac:dyDescent="0.2">
      <c r="A21" s="7" t="s">
        <v>54</v>
      </c>
      <c r="B21" s="31" t="s">
        <v>247</v>
      </c>
      <c r="C21" s="32"/>
      <c r="D21" s="32"/>
    </row>
    <row r="22" spans="1:5" x14ac:dyDescent="0.2">
      <c r="A22" s="8" t="s">
        <v>248</v>
      </c>
      <c r="B22" s="8" t="s">
        <v>249</v>
      </c>
      <c r="C22" s="8" t="s">
        <v>250</v>
      </c>
      <c r="D22" s="8" t="s">
        <v>251</v>
      </c>
    </row>
    <row r="23" spans="1:5" x14ac:dyDescent="0.2">
      <c r="A23" t="s">
        <v>231</v>
      </c>
      <c r="B23">
        <v>5</v>
      </c>
      <c r="C23" s="9">
        <v>0.85</v>
      </c>
      <c r="D23" t="s">
        <v>252</v>
      </c>
    </row>
    <row r="24" spans="1:5" x14ac:dyDescent="0.2">
      <c r="A24" t="s">
        <v>253</v>
      </c>
      <c r="B24">
        <v>6</v>
      </c>
      <c r="C24" s="9">
        <v>1</v>
      </c>
      <c r="D24" t="s">
        <v>254</v>
      </c>
    </row>
    <row r="25" spans="1:5" x14ac:dyDescent="0.2">
      <c r="A25" t="s">
        <v>255</v>
      </c>
      <c r="B25">
        <v>7</v>
      </c>
      <c r="C25" s="9">
        <v>1</v>
      </c>
      <c r="D25" t="s">
        <v>254</v>
      </c>
    </row>
    <row r="26" spans="1:5" x14ac:dyDescent="0.2">
      <c r="A26" t="s">
        <v>256</v>
      </c>
      <c r="B26">
        <v>8</v>
      </c>
      <c r="C26" s="9">
        <v>0.95</v>
      </c>
      <c r="D26" t="s">
        <v>257</v>
      </c>
    </row>
    <row r="27" spans="1:5" x14ac:dyDescent="0.2">
      <c r="A27" t="s">
        <v>236</v>
      </c>
      <c r="B27">
        <v>9</v>
      </c>
      <c r="C27" s="9">
        <v>0.75</v>
      </c>
      <c r="D27" t="s">
        <v>258</v>
      </c>
    </row>
    <row r="30" spans="1:5" x14ac:dyDescent="0.2">
      <c r="A30" s="6" t="s">
        <v>259</v>
      </c>
    </row>
    <row r="31" spans="1:5" ht="15.5" customHeight="1" x14ac:dyDescent="0.2">
      <c r="A31" s="7" t="s">
        <v>46</v>
      </c>
      <c r="B31" s="31" t="s">
        <v>260</v>
      </c>
      <c r="C31" s="32"/>
      <c r="D31" s="32"/>
      <c r="E31" s="32"/>
    </row>
    <row r="32" spans="1:5" ht="15.5" customHeight="1" x14ac:dyDescent="0.2">
      <c r="A32" s="7" t="s">
        <v>48</v>
      </c>
      <c r="B32" s="31" t="s">
        <v>261</v>
      </c>
      <c r="C32" s="32"/>
      <c r="D32" s="32"/>
      <c r="E32" s="32"/>
    </row>
    <row r="33" spans="1:5" ht="31.25" customHeight="1" x14ac:dyDescent="0.2">
      <c r="A33" s="7" t="s">
        <v>50</v>
      </c>
      <c r="B33" s="31" t="s">
        <v>262</v>
      </c>
      <c r="C33" s="32"/>
      <c r="D33" s="32"/>
      <c r="E33" s="32"/>
    </row>
    <row r="34" spans="1:5" ht="15.5" customHeight="1" x14ac:dyDescent="0.2">
      <c r="A34" s="7" t="s">
        <v>52</v>
      </c>
      <c r="B34" s="31" t="s">
        <v>263</v>
      </c>
      <c r="C34" s="32"/>
      <c r="D34" s="32"/>
      <c r="E34" s="32"/>
    </row>
    <row r="35" spans="1:5" ht="15.5" customHeight="1" x14ac:dyDescent="0.2">
      <c r="A35" s="7" t="s">
        <v>54</v>
      </c>
      <c r="B35" s="31" t="s">
        <v>264</v>
      </c>
      <c r="C35" s="32"/>
      <c r="D35" s="32"/>
      <c r="E35" s="32"/>
    </row>
    <row r="36" spans="1:5" x14ac:dyDescent="0.2">
      <c r="A36" s="8" t="s">
        <v>56</v>
      </c>
      <c r="B36" s="8" t="s">
        <v>57</v>
      </c>
      <c r="C36" s="8" t="s">
        <v>227</v>
      </c>
      <c r="D36" s="8" t="s">
        <v>265</v>
      </c>
      <c r="E36" s="8" t="s">
        <v>179</v>
      </c>
    </row>
    <row r="37" spans="1:5" x14ac:dyDescent="0.2">
      <c r="A37" t="s">
        <v>266</v>
      </c>
      <c r="B37" s="9">
        <v>1</v>
      </c>
      <c r="C37" t="s">
        <v>267</v>
      </c>
      <c r="D37" t="s">
        <v>268</v>
      </c>
    </row>
    <row r="38" spans="1:5" x14ac:dyDescent="0.2">
      <c r="A38" t="s">
        <v>269</v>
      </c>
      <c r="B38" s="9">
        <v>5</v>
      </c>
      <c r="C38" t="s">
        <v>270</v>
      </c>
      <c r="D38" t="s">
        <v>271</v>
      </c>
    </row>
    <row r="39" spans="1:5" x14ac:dyDescent="0.2">
      <c r="A39" t="s">
        <v>272</v>
      </c>
      <c r="B39" s="9">
        <v>50000</v>
      </c>
      <c r="C39" t="s">
        <v>273</v>
      </c>
      <c r="D39" t="s">
        <v>274</v>
      </c>
    </row>
    <row r="40" spans="1:5" x14ac:dyDescent="0.2">
      <c r="A40" t="s">
        <v>275</v>
      </c>
      <c r="B40" s="13">
        <v>5</v>
      </c>
      <c r="C40" t="s">
        <v>276</v>
      </c>
      <c r="D40" t="s">
        <v>277</v>
      </c>
    </row>
    <row r="43" spans="1:5" x14ac:dyDescent="0.2">
      <c r="A43" s="6" t="s">
        <v>278</v>
      </c>
    </row>
    <row r="44" spans="1:5" ht="15.5" customHeight="1" x14ac:dyDescent="0.2">
      <c r="A44" s="7" t="s">
        <v>46</v>
      </c>
      <c r="B44" s="31" t="s">
        <v>279</v>
      </c>
      <c r="C44" s="32"/>
      <c r="D44" s="32"/>
    </row>
    <row r="45" spans="1:5" ht="15.5" customHeight="1" x14ac:dyDescent="0.2">
      <c r="A45" s="7" t="s">
        <v>48</v>
      </c>
      <c r="B45" s="31" t="s">
        <v>280</v>
      </c>
      <c r="C45" s="32"/>
      <c r="D45" s="32"/>
    </row>
    <row r="46" spans="1:5" ht="31.25" customHeight="1" x14ac:dyDescent="0.2">
      <c r="A46" s="7" t="s">
        <v>50</v>
      </c>
      <c r="B46" s="31" t="s">
        <v>281</v>
      </c>
      <c r="C46" s="32"/>
      <c r="D46" s="32"/>
    </row>
    <row r="47" spans="1:5" ht="15.5" customHeight="1" x14ac:dyDescent="0.2">
      <c r="A47" s="7" t="s">
        <v>52</v>
      </c>
      <c r="B47" s="31" t="s">
        <v>282</v>
      </c>
      <c r="C47" s="32"/>
      <c r="D47" s="32"/>
    </row>
    <row r="48" spans="1:5" ht="15.5" customHeight="1" x14ac:dyDescent="0.2">
      <c r="A48" s="7" t="s">
        <v>54</v>
      </c>
      <c r="B48" s="31" t="s">
        <v>283</v>
      </c>
      <c r="C48" s="32"/>
      <c r="D48" s="32"/>
    </row>
    <row r="49" spans="1:4" x14ac:dyDescent="0.2">
      <c r="A49" s="8" t="s">
        <v>56</v>
      </c>
      <c r="B49" s="8" t="s">
        <v>57</v>
      </c>
      <c r="C49" s="8" t="s">
        <v>227</v>
      </c>
      <c r="D49" s="8" t="s">
        <v>179</v>
      </c>
    </row>
    <row r="50" spans="1:4" x14ac:dyDescent="0.2">
      <c r="A50" t="s">
        <v>284</v>
      </c>
      <c r="B50" s="14">
        <v>1500</v>
      </c>
      <c r="C50" t="s">
        <v>285</v>
      </c>
    </row>
    <row r="51" spans="1:4" x14ac:dyDescent="0.2">
      <c r="A51" t="s">
        <v>286</v>
      </c>
      <c r="B51" s="14">
        <v>50000</v>
      </c>
      <c r="C51" t="s">
        <v>287</v>
      </c>
    </row>
    <row r="52" spans="1:4" x14ac:dyDescent="0.2">
      <c r="A52" t="s">
        <v>288</v>
      </c>
      <c r="B52" s="14">
        <v>15000</v>
      </c>
      <c r="C52" t="s">
        <v>285</v>
      </c>
    </row>
    <row r="55" spans="1:4" x14ac:dyDescent="0.2">
      <c r="A55" s="6" t="s">
        <v>289</v>
      </c>
    </row>
    <row r="56" spans="1:4" ht="31.25" customHeight="1" x14ac:dyDescent="0.2">
      <c r="A56" s="7" t="s">
        <v>46</v>
      </c>
      <c r="B56" s="31" t="s">
        <v>290</v>
      </c>
      <c r="C56" s="32"/>
      <c r="D56" s="32"/>
    </row>
    <row r="57" spans="1:4" ht="31.25" customHeight="1" x14ac:dyDescent="0.2">
      <c r="A57" s="7" t="s">
        <v>48</v>
      </c>
      <c r="B57" s="31" t="s">
        <v>291</v>
      </c>
      <c r="C57" s="32"/>
      <c r="D57" s="32"/>
    </row>
    <row r="58" spans="1:4" ht="31.25" customHeight="1" x14ac:dyDescent="0.2">
      <c r="A58" s="7" t="s">
        <v>50</v>
      </c>
      <c r="B58" s="31" t="s">
        <v>292</v>
      </c>
      <c r="C58" s="32"/>
      <c r="D58" s="32"/>
    </row>
    <row r="59" spans="1:4" ht="15.5" customHeight="1" x14ac:dyDescent="0.2">
      <c r="A59" s="7" t="s">
        <v>52</v>
      </c>
      <c r="B59" s="31" t="s">
        <v>293</v>
      </c>
      <c r="C59" s="32"/>
      <c r="D59" s="32"/>
    </row>
    <row r="60" spans="1:4" ht="15.5" customHeight="1" x14ac:dyDescent="0.2">
      <c r="A60" s="7" t="s">
        <v>54</v>
      </c>
      <c r="B60" s="31" t="s">
        <v>294</v>
      </c>
      <c r="C60" s="32"/>
      <c r="D60" s="32"/>
    </row>
    <row r="61" spans="1:4" x14ac:dyDescent="0.2">
      <c r="A61" s="8" t="s">
        <v>295</v>
      </c>
      <c r="B61" s="8" t="s">
        <v>250</v>
      </c>
      <c r="C61" s="8" t="s">
        <v>228</v>
      </c>
      <c r="D61" s="8" t="s">
        <v>179</v>
      </c>
    </row>
    <row r="62" spans="1:4" x14ac:dyDescent="0.2">
      <c r="A62">
        <v>1</v>
      </c>
      <c r="B62" s="9">
        <v>0.5</v>
      </c>
      <c r="C62" t="s">
        <v>296</v>
      </c>
      <c r="D62" t="s">
        <v>21</v>
      </c>
    </row>
    <row r="63" spans="1:4" x14ac:dyDescent="0.2">
      <c r="A63">
        <v>2</v>
      </c>
      <c r="B63" s="9">
        <v>0.75</v>
      </c>
      <c r="C63" t="s">
        <v>297</v>
      </c>
      <c r="D63" t="s">
        <v>21</v>
      </c>
    </row>
    <row r="64" spans="1:4" x14ac:dyDescent="0.2">
      <c r="A64">
        <v>3</v>
      </c>
      <c r="B64" s="9">
        <v>1</v>
      </c>
      <c r="C64" t="s">
        <v>298</v>
      </c>
      <c r="D64" t="s">
        <v>21</v>
      </c>
    </row>
    <row r="65" spans="1:7" x14ac:dyDescent="0.2">
      <c r="A65">
        <v>4</v>
      </c>
      <c r="B65" s="9">
        <v>1</v>
      </c>
      <c r="C65" t="s">
        <v>299</v>
      </c>
      <c r="D65" t="s">
        <v>21</v>
      </c>
    </row>
    <row r="66" spans="1:7" x14ac:dyDescent="0.2">
      <c r="A66">
        <v>5</v>
      </c>
      <c r="B66" s="9">
        <v>1</v>
      </c>
      <c r="C66" t="s">
        <v>299</v>
      </c>
      <c r="D66" t="s">
        <v>21</v>
      </c>
    </row>
    <row r="69" spans="1:7" x14ac:dyDescent="0.2">
      <c r="A69" s="6" t="s">
        <v>300</v>
      </c>
    </row>
    <row r="70" spans="1:7" ht="15.5" customHeight="1" x14ac:dyDescent="0.2">
      <c r="A70" s="7" t="s">
        <v>46</v>
      </c>
      <c r="B70" s="31" t="s">
        <v>301</v>
      </c>
      <c r="C70" s="32"/>
      <c r="D70" s="32"/>
      <c r="E70" s="32"/>
      <c r="F70" s="32"/>
      <c r="G70" s="32"/>
    </row>
    <row r="71" spans="1:7" ht="15.5" customHeight="1" x14ac:dyDescent="0.2">
      <c r="A71" s="7" t="s">
        <v>48</v>
      </c>
      <c r="B71" s="31" t="s">
        <v>302</v>
      </c>
      <c r="C71" s="32"/>
      <c r="D71" s="32"/>
      <c r="E71" s="32"/>
      <c r="F71" s="32"/>
      <c r="G71" s="32"/>
    </row>
    <row r="72" spans="1:7" ht="46.75" customHeight="1" x14ac:dyDescent="0.2">
      <c r="A72" s="7" t="s">
        <v>50</v>
      </c>
      <c r="B72" s="31" t="s">
        <v>303</v>
      </c>
      <c r="C72" s="32"/>
      <c r="D72" s="32"/>
      <c r="E72" s="32"/>
      <c r="F72" s="32"/>
      <c r="G72" s="32"/>
    </row>
    <row r="73" spans="1:7" ht="15.5" customHeight="1" x14ac:dyDescent="0.2">
      <c r="A73" s="7" t="s">
        <v>52</v>
      </c>
      <c r="B73" s="31" t="s">
        <v>304</v>
      </c>
      <c r="C73" s="32"/>
      <c r="D73" s="32"/>
      <c r="E73" s="32"/>
      <c r="F73" s="32"/>
      <c r="G73" s="32"/>
    </row>
    <row r="74" spans="1:7" ht="15.5" customHeight="1" x14ac:dyDescent="0.2">
      <c r="A74" s="7" t="s">
        <v>54</v>
      </c>
      <c r="B74" s="31" t="s">
        <v>305</v>
      </c>
      <c r="C74" s="32"/>
      <c r="D74" s="32"/>
      <c r="E74" s="32"/>
      <c r="F74" s="32"/>
      <c r="G74" s="32"/>
    </row>
    <row r="75" spans="1:7" x14ac:dyDescent="0.2">
      <c r="A75" s="8" t="s">
        <v>306</v>
      </c>
      <c r="B75" s="8" t="s">
        <v>307</v>
      </c>
      <c r="C75" s="8" t="s">
        <v>308</v>
      </c>
      <c r="D75" s="8" t="s">
        <v>309</v>
      </c>
      <c r="E75" s="8" t="s">
        <v>310</v>
      </c>
      <c r="F75" s="8" t="s">
        <v>311</v>
      </c>
      <c r="G75" s="8" t="s">
        <v>179</v>
      </c>
    </row>
    <row r="76" spans="1:7" x14ac:dyDescent="0.2">
      <c r="A76" t="s">
        <v>312</v>
      </c>
      <c r="B76" t="s">
        <v>107</v>
      </c>
      <c r="C76">
        <v>30</v>
      </c>
      <c r="D76">
        <v>2</v>
      </c>
      <c r="E76" s="15">
        <v>1000</v>
      </c>
      <c r="F76">
        <v>42</v>
      </c>
    </row>
    <row r="77" spans="1:7" x14ac:dyDescent="0.2">
      <c r="A77" t="s">
        <v>313</v>
      </c>
      <c r="B77" t="s">
        <v>107</v>
      </c>
      <c r="C77">
        <v>7</v>
      </c>
      <c r="D77">
        <v>2</v>
      </c>
      <c r="E77" s="15">
        <v>1000</v>
      </c>
      <c r="F77">
        <v>42</v>
      </c>
    </row>
    <row r="78" spans="1:7" x14ac:dyDescent="0.2">
      <c r="A78" t="s">
        <v>61</v>
      </c>
      <c r="B78" t="s">
        <v>314</v>
      </c>
      <c r="C78">
        <v>1</v>
      </c>
      <c r="D78">
        <v>10</v>
      </c>
      <c r="E78" s="15">
        <v>10</v>
      </c>
      <c r="F78">
        <v>1</v>
      </c>
    </row>
    <row r="80" spans="1:7" x14ac:dyDescent="0.2">
      <c r="A80" s="6" t="s">
        <v>315</v>
      </c>
    </row>
    <row r="81" spans="1:5" ht="15.5" customHeight="1" x14ac:dyDescent="0.2">
      <c r="A81" s="7" t="s">
        <v>46</v>
      </c>
      <c r="B81" s="31" t="s">
        <v>316</v>
      </c>
      <c r="C81" s="32"/>
      <c r="D81" s="32"/>
      <c r="E81" s="32"/>
    </row>
    <row r="82" spans="1:5" ht="15.5" customHeight="1" x14ac:dyDescent="0.2">
      <c r="A82" s="7" t="s">
        <v>48</v>
      </c>
      <c r="B82" s="31" t="s">
        <v>317</v>
      </c>
      <c r="C82" s="32"/>
      <c r="D82" s="32"/>
      <c r="E82" s="32"/>
    </row>
    <row r="83" spans="1:5" ht="46.75" customHeight="1" x14ac:dyDescent="0.2">
      <c r="A83" s="7" t="s">
        <v>50</v>
      </c>
      <c r="B83" s="31" t="s">
        <v>318</v>
      </c>
      <c r="C83" s="32"/>
      <c r="D83" s="32"/>
      <c r="E83" s="32"/>
    </row>
    <row r="84" spans="1:5" ht="15.5" customHeight="1" x14ac:dyDescent="0.2">
      <c r="A84" s="7" t="s">
        <v>52</v>
      </c>
      <c r="B84" s="31" t="s">
        <v>319</v>
      </c>
      <c r="C84" s="32"/>
      <c r="D84" s="32"/>
      <c r="E84" s="32"/>
    </row>
    <row r="85" spans="1:5" ht="15.5" customHeight="1" x14ac:dyDescent="0.2">
      <c r="A85" s="7" t="s">
        <v>54</v>
      </c>
      <c r="B85" s="31" t="s">
        <v>320</v>
      </c>
      <c r="C85" s="32"/>
      <c r="D85" s="32"/>
      <c r="E85" s="32"/>
    </row>
    <row r="86" spans="1:5" x14ac:dyDescent="0.2">
      <c r="A86" s="8" t="s">
        <v>306</v>
      </c>
      <c r="B86" s="8" t="s">
        <v>321</v>
      </c>
      <c r="C86" s="8" t="s">
        <v>322</v>
      </c>
      <c r="D86" s="8" t="s">
        <v>323</v>
      </c>
      <c r="E86" s="8" t="s">
        <v>324</v>
      </c>
    </row>
    <row r="87" spans="1:5" x14ac:dyDescent="0.2">
      <c r="A87" t="s">
        <v>312</v>
      </c>
      <c r="B87" t="str">
        <f>IF(INDEX(TestOpt_Latency,1)&lt;=7,"ENABLED","BLOCKED")</f>
        <v>BLOCKED</v>
      </c>
      <c r="C87" t="str">
        <f>IF(INDEX(TestOpt_Latency,1)&lt;=7,"ENABLED","BLOCKED")</f>
        <v>BLOCKED</v>
      </c>
      <c r="D87" t="str">
        <f>IF(INDEX(TestOpt_Latency,1)&lt;=14,"ENABLED","BLOCKED")</f>
        <v>BLOCKED</v>
      </c>
      <c r="E87" t="str">
        <f>IF(INDEX(TestOpt_Latency,1)&lt;=3,"ENABLED","BLOCKED")</f>
        <v>BLOCKED</v>
      </c>
    </row>
    <row r="88" spans="1:5" x14ac:dyDescent="0.2">
      <c r="A88" t="s">
        <v>313</v>
      </c>
      <c r="B88" t="str">
        <f>IF(INDEX(TestOpt_Latency,2)&lt;=7,"ENABLED","BLOCKED")</f>
        <v>BLOCKED</v>
      </c>
      <c r="C88" t="str">
        <f>IF(INDEX(TestOpt_Latency,2)&lt;=7,"ENABLED","BLOCKED")</f>
        <v>BLOCKED</v>
      </c>
      <c r="D88" t="str">
        <f>IF(INDEX(TestOpt_Latency,2)&lt;=14,"ENABLED","BLOCKED")</f>
        <v>BLOCKED</v>
      </c>
      <c r="E88" t="str">
        <f>IF(INDEX(TestOpt_Latency,2)&lt;=3,"ENABLED","BLOCKED")</f>
        <v>BLOCKED</v>
      </c>
    </row>
    <row r="89" spans="1:5" x14ac:dyDescent="0.2">
      <c r="A89" t="s">
        <v>61</v>
      </c>
      <c r="B89" t="str">
        <f>IF(INDEX(TestOpt_Latency,3)&lt;=7,"ENABLED","BLOCKED")</f>
        <v>ENABLED</v>
      </c>
      <c r="C89" t="str">
        <f>IF(INDEX(TestOpt_Latency,3)&lt;=7,"ENABLED","BLOCKED")</f>
        <v>ENABLED</v>
      </c>
      <c r="D89" t="str">
        <f>IF(INDEX(TestOpt_Latency,3)&lt;=14,"ENABLED","BLOCKED")</f>
        <v>ENABLED</v>
      </c>
      <c r="E89" t="str">
        <f>IF(INDEX(TestOpt_Latency,3)&lt;=3,"ENABLED","BLOCKED")</f>
        <v>ENABLED</v>
      </c>
    </row>
    <row r="92" spans="1:5" ht="19" x14ac:dyDescent="0.25">
      <c r="A92" s="4" t="s">
        <v>325</v>
      </c>
    </row>
    <row r="93" spans="1:5" x14ac:dyDescent="0.2">
      <c r="A93" t="s">
        <v>326</v>
      </c>
      <c r="B93" t="s">
        <v>327</v>
      </c>
    </row>
    <row r="94" spans="1:5" x14ac:dyDescent="0.2">
      <c r="A94" t="s">
        <v>312</v>
      </c>
      <c r="B94" t="s">
        <v>65</v>
      </c>
    </row>
    <row r="95" spans="1:5" x14ac:dyDescent="0.2">
      <c r="A95" t="s">
        <v>313</v>
      </c>
      <c r="B95" t="s">
        <v>328</v>
      </c>
    </row>
    <row r="96" spans="1:5" x14ac:dyDescent="0.2">
      <c r="A96" t="s">
        <v>61</v>
      </c>
      <c r="B96" t="s">
        <v>329</v>
      </c>
    </row>
    <row r="98" spans="1:5" ht="19" x14ac:dyDescent="0.25">
      <c r="A98" s="4" t="s">
        <v>330</v>
      </c>
    </row>
    <row r="99" spans="1:5" x14ac:dyDescent="0.2">
      <c r="A99" t="s">
        <v>331</v>
      </c>
    </row>
    <row r="101" spans="1:5" x14ac:dyDescent="0.2">
      <c r="A101" s="6" t="s">
        <v>332</v>
      </c>
    </row>
    <row r="102" spans="1:5" ht="15.5" customHeight="1" x14ac:dyDescent="0.2">
      <c r="A102" s="7" t="s">
        <v>46</v>
      </c>
      <c r="B102" s="31" t="s">
        <v>333</v>
      </c>
      <c r="C102" s="32"/>
      <c r="D102" s="32"/>
      <c r="E102" s="32"/>
    </row>
    <row r="103" spans="1:5" ht="15.5" customHeight="1" x14ac:dyDescent="0.2">
      <c r="A103" s="7" t="s">
        <v>48</v>
      </c>
      <c r="B103" s="31" t="s">
        <v>334</v>
      </c>
      <c r="C103" s="32"/>
      <c r="D103" s="32"/>
      <c r="E103" s="32"/>
    </row>
    <row r="104" spans="1:5" ht="31.25" customHeight="1" x14ac:dyDescent="0.2">
      <c r="A104" s="7" t="s">
        <v>50</v>
      </c>
      <c r="B104" s="31" t="s">
        <v>335</v>
      </c>
      <c r="C104" s="32"/>
      <c r="D104" s="32"/>
      <c r="E104" s="32"/>
    </row>
    <row r="105" spans="1:5" ht="15.5" customHeight="1" x14ac:dyDescent="0.2">
      <c r="A105" s="7" t="s">
        <v>52</v>
      </c>
      <c r="B105" s="31" t="s">
        <v>336</v>
      </c>
      <c r="C105" s="32"/>
      <c r="D105" s="32"/>
      <c r="E105" s="32"/>
    </row>
    <row r="106" spans="1:5" ht="15.5" customHeight="1" x14ac:dyDescent="0.2">
      <c r="A106" s="7" t="s">
        <v>54</v>
      </c>
      <c r="B106" s="31" t="s">
        <v>337</v>
      </c>
      <c r="C106" s="32"/>
      <c r="D106" s="32"/>
      <c r="E106" s="32"/>
    </row>
    <row r="107" spans="1:5" x14ac:dyDescent="0.2">
      <c r="A107" s="8" t="s">
        <v>56</v>
      </c>
      <c r="B107" s="8" t="s">
        <v>57</v>
      </c>
      <c r="C107" s="8" t="s">
        <v>227</v>
      </c>
      <c r="D107" s="8" t="s">
        <v>228</v>
      </c>
      <c r="E107" s="8" t="s">
        <v>179</v>
      </c>
    </row>
    <row r="108" spans="1:5" x14ac:dyDescent="0.2">
      <c r="A108" t="s">
        <v>180</v>
      </c>
      <c r="B108" s="16">
        <v>63.1</v>
      </c>
      <c r="C108" t="s">
        <v>338</v>
      </c>
      <c r="D108" t="s">
        <v>339</v>
      </c>
      <c r="E108" t="s">
        <v>21</v>
      </c>
    </row>
    <row r="109" spans="1:5" x14ac:dyDescent="0.2">
      <c r="A109" t="s">
        <v>181</v>
      </c>
      <c r="B109" s="16">
        <v>50</v>
      </c>
      <c r="C109" t="s">
        <v>338</v>
      </c>
      <c r="D109" t="s">
        <v>340</v>
      </c>
      <c r="E109" t="s">
        <v>21</v>
      </c>
    </row>
    <row r="110" spans="1:5" x14ac:dyDescent="0.2">
      <c r="A110" t="s">
        <v>182</v>
      </c>
      <c r="B110" s="16">
        <v>0.53200000000000003</v>
      </c>
      <c r="C110" t="s">
        <v>341</v>
      </c>
      <c r="D110" t="s">
        <v>342</v>
      </c>
      <c r="E110" t="s">
        <v>21</v>
      </c>
    </row>
    <row r="111" spans="1:5" x14ac:dyDescent="0.2">
      <c r="A111" t="s">
        <v>183</v>
      </c>
      <c r="B111" s="16">
        <v>0.248</v>
      </c>
      <c r="C111" t="s">
        <v>341</v>
      </c>
      <c r="D111" t="s">
        <v>343</v>
      </c>
      <c r="E111" t="s">
        <v>21</v>
      </c>
    </row>
    <row r="112" spans="1:5" x14ac:dyDescent="0.2">
      <c r="A112" t="s">
        <v>184</v>
      </c>
      <c r="B112" s="9">
        <v>15</v>
      </c>
      <c r="C112" t="s">
        <v>240</v>
      </c>
      <c r="D112" t="s">
        <v>344</v>
      </c>
      <c r="E112" t="s">
        <v>21</v>
      </c>
    </row>
    <row r="113" spans="1:5" x14ac:dyDescent="0.2">
      <c r="A113" t="s">
        <v>185</v>
      </c>
      <c r="B113" s="9">
        <v>14</v>
      </c>
      <c r="C113" t="s">
        <v>240</v>
      </c>
      <c r="D113" t="s">
        <v>345</v>
      </c>
      <c r="E113" t="s">
        <v>21</v>
      </c>
    </row>
    <row r="114" spans="1:5" x14ac:dyDescent="0.2">
      <c r="A114" t="s">
        <v>346</v>
      </c>
      <c r="B114" s="9">
        <v>8772</v>
      </c>
      <c r="C114" t="s">
        <v>347</v>
      </c>
      <c r="D114" t="s">
        <v>348</v>
      </c>
    </row>
    <row r="117" spans="1:5" x14ac:dyDescent="0.2">
      <c r="A117" s="6" t="s">
        <v>349</v>
      </c>
    </row>
    <row r="118" spans="1:5" ht="31.25" customHeight="1" x14ac:dyDescent="0.2">
      <c r="A118" s="7" t="s">
        <v>46</v>
      </c>
      <c r="B118" s="31" t="s">
        <v>350</v>
      </c>
      <c r="C118" s="32"/>
      <c r="D118" s="32"/>
    </row>
    <row r="119" spans="1:5" ht="15.5" customHeight="1" x14ac:dyDescent="0.2">
      <c r="A119" s="7" t="s">
        <v>48</v>
      </c>
      <c r="B119" s="31" t="s">
        <v>351</v>
      </c>
      <c r="C119" s="32"/>
      <c r="D119" s="32"/>
    </row>
    <row r="120" spans="1:5" ht="31.25" customHeight="1" x14ac:dyDescent="0.2">
      <c r="A120" s="7" t="s">
        <v>50</v>
      </c>
      <c r="B120" s="31" t="s">
        <v>352</v>
      </c>
      <c r="C120" s="32"/>
      <c r="D120" s="32"/>
    </row>
    <row r="121" spans="1:5" ht="15.5" customHeight="1" x14ac:dyDescent="0.2">
      <c r="A121" s="7" t="s">
        <v>52</v>
      </c>
      <c r="B121" s="31" t="s">
        <v>353</v>
      </c>
      <c r="C121" s="32"/>
      <c r="D121" s="32"/>
    </row>
    <row r="122" spans="1:5" ht="15.5" customHeight="1" x14ac:dyDescent="0.2">
      <c r="A122" s="7" t="s">
        <v>54</v>
      </c>
      <c r="B122" s="31" t="s">
        <v>264</v>
      </c>
      <c r="C122" s="32"/>
      <c r="D122" s="32"/>
    </row>
    <row r="123" spans="1:5" x14ac:dyDescent="0.2">
      <c r="A123" s="8" t="s">
        <v>354</v>
      </c>
      <c r="B123" s="8" t="s">
        <v>355</v>
      </c>
      <c r="C123" s="8" t="s">
        <v>356</v>
      </c>
      <c r="D123" s="8" t="s">
        <v>228</v>
      </c>
    </row>
    <row r="124" spans="1:5" x14ac:dyDescent="0.2">
      <c r="A124" t="s">
        <v>357</v>
      </c>
      <c r="B124" s="9">
        <v>14</v>
      </c>
      <c r="C124" t="s">
        <v>358</v>
      </c>
      <c r="D124" t="s">
        <v>359</v>
      </c>
    </row>
    <row r="125" spans="1:5" x14ac:dyDescent="0.2">
      <c r="A125" t="s">
        <v>360</v>
      </c>
      <c r="B125" s="9">
        <v>28</v>
      </c>
      <c r="C125" t="s">
        <v>361</v>
      </c>
      <c r="D125" t="s">
        <v>362</v>
      </c>
    </row>
    <row r="126" spans="1:5" x14ac:dyDescent="0.2">
      <c r="A126" t="s">
        <v>363</v>
      </c>
      <c r="B126" s="9">
        <v>42</v>
      </c>
      <c r="C126" t="s">
        <v>364</v>
      </c>
      <c r="D126" t="s">
        <v>365</v>
      </c>
    </row>
  </sheetData>
  <mergeCells count="45">
    <mergeCell ref="B121:D121"/>
    <mergeCell ref="B59:D59"/>
    <mergeCell ref="B8:E8"/>
    <mergeCell ref="B46:D46"/>
    <mergeCell ref="B122:D122"/>
    <mergeCell ref="B82:E82"/>
    <mergeCell ref="B71:G71"/>
    <mergeCell ref="B18:D18"/>
    <mergeCell ref="B56:D56"/>
    <mergeCell ref="B58:D58"/>
    <mergeCell ref="B21:D21"/>
    <mergeCell ref="B103:E103"/>
    <mergeCell ref="B34:E34"/>
    <mergeCell ref="B70:G70"/>
    <mergeCell ref="B48:D48"/>
    <mergeCell ref="B84:E84"/>
    <mergeCell ref="B4:E4"/>
    <mergeCell ref="B106:E106"/>
    <mergeCell ref="B118:D118"/>
    <mergeCell ref="B7:E7"/>
    <mergeCell ref="B74:G74"/>
    <mergeCell ref="B81:E81"/>
    <mergeCell ref="B20:D20"/>
    <mergeCell ref="B31:E31"/>
    <mergeCell ref="B102:E102"/>
    <mergeCell ref="B105:E105"/>
    <mergeCell ref="B45:D45"/>
    <mergeCell ref="B47:D47"/>
    <mergeCell ref="B72:G72"/>
    <mergeCell ref="B5:E5"/>
    <mergeCell ref="B73:G73"/>
    <mergeCell ref="B85:E85"/>
    <mergeCell ref="B32:E32"/>
    <mergeCell ref="B19:D19"/>
    <mergeCell ref="B35:E35"/>
    <mergeCell ref="B120:D120"/>
    <mergeCell ref="B60:D60"/>
    <mergeCell ref="B83:E83"/>
    <mergeCell ref="B57:D57"/>
    <mergeCell ref="B6:E6"/>
    <mergeCell ref="B17:D17"/>
    <mergeCell ref="B119:D119"/>
    <mergeCell ref="B33:E33"/>
    <mergeCell ref="B104:E104"/>
    <mergeCell ref="B44:D44"/>
  </mergeCells>
  <pageMargins left="0.75" right="0.75" top="1" bottom="1" header="0.5" footer="0.5"/>
  <tableParts count="9">
    <tablePart r:id="rId1"/>
    <tablePart r:id="rId2"/>
    <tablePart r:id="rId3"/>
    <tablePart r:id="rId4"/>
    <tablePart r:id="rId5"/>
    <tablePart r:id="rId6"/>
    <tablePart r:id="rId7"/>
    <tablePart r:id="rId8"/>
    <tablePart r:id="rId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H23"/>
  <sheetViews>
    <sheetView workbookViewId="0"/>
  </sheetViews>
  <sheetFormatPr baseColWidth="10" defaultColWidth="8.83203125" defaultRowHeight="15" x14ac:dyDescent="0.2"/>
  <cols>
    <col min="1" max="1" width="22" customWidth="1"/>
    <col min="2" max="7" width="10" customWidth="1"/>
    <col min="8" max="8" width="30" customWidth="1"/>
  </cols>
  <sheetData>
    <row r="1" spans="1:8" ht="21" x14ac:dyDescent="0.25">
      <c r="A1" s="5" t="s">
        <v>366</v>
      </c>
    </row>
    <row r="3" spans="1:8" x14ac:dyDescent="0.2">
      <c r="A3" s="36" t="s">
        <v>367</v>
      </c>
      <c r="B3" s="34"/>
      <c r="C3" s="34"/>
      <c r="D3" s="34"/>
      <c r="E3" s="34"/>
      <c r="F3" s="34"/>
      <c r="G3" s="34"/>
      <c r="H3" s="35"/>
    </row>
    <row r="4" spans="1:8" ht="93.5" customHeight="1" x14ac:dyDescent="0.2">
      <c r="A4" s="33" t="s">
        <v>368</v>
      </c>
      <c r="B4" s="34"/>
      <c r="C4" s="34"/>
      <c r="D4" s="34"/>
      <c r="E4" s="34"/>
      <c r="F4" s="34"/>
      <c r="G4" s="34"/>
      <c r="H4" s="35"/>
    </row>
    <row r="7" spans="1:8" x14ac:dyDescent="0.2">
      <c r="A7" s="8" t="s">
        <v>369</v>
      </c>
      <c r="B7" s="8" t="s">
        <v>227</v>
      </c>
      <c r="C7" s="8" t="s">
        <v>231</v>
      </c>
      <c r="D7" s="8" t="s">
        <v>370</v>
      </c>
      <c r="E7" s="8" t="s">
        <v>371</v>
      </c>
      <c r="F7" s="8" t="s">
        <v>372</v>
      </c>
      <c r="G7" s="8" t="s">
        <v>373</v>
      </c>
      <c r="H7" s="8" t="s">
        <v>228</v>
      </c>
    </row>
    <row r="8" spans="1:8" x14ac:dyDescent="0.2">
      <c r="A8" t="s">
        <v>374</v>
      </c>
      <c r="B8" t="s">
        <v>375</v>
      </c>
      <c r="C8" s="17">
        <v>10</v>
      </c>
      <c r="D8" s="17">
        <v>16</v>
      </c>
      <c r="E8" s="17">
        <v>20</v>
      </c>
      <c r="F8" s="17">
        <v>18</v>
      </c>
      <c r="G8" s="17">
        <v>12</v>
      </c>
      <c r="H8" t="s">
        <v>376</v>
      </c>
    </row>
    <row r="9" spans="1:8" x14ac:dyDescent="0.2">
      <c r="A9" t="s">
        <v>377</v>
      </c>
      <c r="B9" t="s">
        <v>378</v>
      </c>
      <c r="C9" s="18">
        <v>0.75</v>
      </c>
      <c r="D9" s="18">
        <v>1</v>
      </c>
      <c r="E9" s="18">
        <v>1</v>
      </c>
      <c r="F9" s="18">
        <v>0.85</v>
      </c>
      <c r="G9" s="18">
        <v>0.55000000000000004</v>
      </c>
      <c r="H9" t="s">
        <v>379</v>
      </c>
    </row>
    <row r="10" spans="1:8" x14ac:dyDescent="0.2">
      <c r="A10" t="s">
        <v>380</v>
      </c>
      <c r="B10" t="s">
        <v>338</v>
      </c>
      <c r="C10" s="18">
        <v>8.5</v>
      </c>
      <c r="D10" s="18">
        <v>7.5</v>
      </c>
      <c r="E10" s="18">
        <v>6.5</v>
      </c>
      <c r="F10" s="18">
        <v>7</v>
      </c>
      <c r="G10" s="18">
        <v>8</v>
      </c>
      <c r="H10" t="s">
        <v>381</v>
      </c>
    </row>
    <row r="11" spans="1:8" x14ac:dyDescent="0.2">
      <c r="A11" t="s">
        <v>382</v>
      </c>
      <c r="B11" t="s">
        <v>378</v>
      </c>
      <c r="C11" s="18">
        <v>1</v>
      </c>
      <c r="D11" s="18">
        <v>0.7</v>
      </c>
      <c r="E11" s="18">
        <v>0.4</v>
      </c>
      <c r="F11" s="18">
        <v>0.3</v>
      </c>
      <c r="G11" s="18">
        <v>0.2</v>
      </c>
      <c r="H11" t="s">
        <v>383</v>
      </c>
    </row>
    <row r="12" spans="1:8" x14ac:dyDescent="0.2">
      <c r="A12" t="s">
        <v>384</v>
      </c>
      <c r="B12" t="s">
        <v>378</v>
      </c>
      <c r="C12" s="18">
        <v>0.7</v>
      </c>
      <c r="D12" s="18">
        <v>0.9</v>
      </c>
      <c r="E12" s="18">
        <v>1</v>
      </c>
      <c r="F12" s="18">
        <v>0.95</v>
      </c>
      <c r="G12" s="18">
        <v>0.8</v>
      </c>
      <c r="H12" t="s">
        <v>385</v>
      </c>
    </row>
    <row r="15" spans="1:8" x14ac:dyDescent="0.2">
      <c r="A15" s="11" t="s">
        <v>386</v>
      </c>
    </row>
    <row r="16" spans="1:8" x14ac:dyDescent="0.2">
      <c r="A16" s="8" t="s">
        <v>56</v>
      </c>
      <c r="B16" s="8" t="s">
        <v>227</v>
      </c>
      <c r="C16" s="8" t="s">
        <v>387</v>
      </c>
      <c r="D16" s="8" t="s">
        <v>388</v>
      </c>
      <c r="E16" s="8" t="s">
        <v>389</v>
      </c>
      <c r="F16" s="8" t="s">
        <v>390</v>
      </c>
      <c r="G16" s="8" t="s">
        <v>391</v>
      </c>
      <c r="H16" s="8" t="s">
        <v>228</v>
      </c>
    </row>
    <row r="17" spans="1:8" x14ac:dyDescent="0.2">
      <c r="A17" t="s">
        <v>392</v>
      </c>
      <c r="B17" t="s">
        <v>338</v>
      </c>
      <c r="C17" s="19">
        <v>50</v>
      </c>
      <c r="D17" s="19">
        <v>150</v>
      </c>
      <c r="E17" s="19">
        <v>300</v>
      </c>
      <c r="F17">
        <v>230</v>
      </c>
      <c r="G17" t="s">
        <v>393</v>
      </c>
      <c r="H17" t="s">
        <v>394</v>
      </c>
    </row>
    <row r="18" spans="1:8" x14ac:dyDescent="0.2">
      <c r="A18" t="s">
        <v>395</v>
      </c>
      <c r="B18" t="s">
        <v>396</v>
      </c>
      <c r="C18" s="17">
        <v>1</v>
      </c>
      <c r="D18" s="17">
        <v>2.5</v>
      </c>
      <c r="E18" s="17">
        <v>6</v>
      </c>
      <c r="F18">
        <v>4</v>
      </c>
      <c r="G18" t="s">
        <v>393</v>
      </c>
      <c r="H18" t="s">
        <v>397</v>
      </c>
    </row>
    <row r="19" spans="1:8" x14ac:dyDescent="0.2">
      <c r="A19" t="s">
        <v>398</v>
      </c>
      <c r="B19" t="s">
        <v>338</v>
      </c>
      <c r="C19" s="19">
        <v>100</v>
      </c>
      <c r="D19" s="19">
        <v>300</v>
      </c>
      <c r="E19" s="19">
        <v>600</v>
      </c>
      <c r="F19">
        <v>500</v>
      </c>
      <c r="G19" t="s">
        <v>393</v>
      </c>
      <c r="H19" t="s">
        <v>399</v>
      </c>
    </row>
    <row r="20" spans="1:8" x14ac:dyDescent="0.2">
      <c r="A20" t="s">
        <v>400</v>
      </c>
      <c r="B20" t="s">
        <v>338</v>
      </c>
      <c r="C20" s="17">
        <v>5</v>
      </c>
      <c r="D20" s="17">
        <v>7</v>
      </c>
      <c r="E20" s="17">
        <v>9</v>
      </c>
      <c r="F20">
        <v>6.5</v>
      </c>
      <c r="G20" t="s">
        <v>401</v>
      </c>
      <c r="H20" t="s">
        <v>402</v>
      </c>
    </row>
    <row r="23" spans="1:8" x14ac:dyDescent="0.2">
      <c r="A23" s="11" t="s">
        <v>403</v>
      </c>
      <c r="B23" t="s">
        <v>404</v>
      </c>
      <c r="C23" t="s">
        <v>405</v>
      </c>
    </row>
  </sheetData>
  <mergeCells count="2">
    <mergeCell ref="A4:H4"/>
    <mergeCell ref="A3:H3"/>
  </mergeCells>
  <pageMargins left="0.75" right="0.75" top="1" bottom="1" header="0.5" footer="0.5"/>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E25"/>
  <sheetViews>
    <sheetView workbookViewId="0"/>
  </sheetViews>
  <sheetFormatPr baseColWidth="10" defaultColWidth="8.83203125" defaultRowHeight="15" x14ac:dyDescent="0.2"/>
  <cols>
    <col min="1" max="1" width="12" customWidth="1"/>
    <col min="2" max="2" width="22" customWidth="1"/>
    <col min="3" max="3" width="14" customWidth="1"/>
    <col min="4" max="4" width="24" customWidth="1"/>
    <col min="5" max="5" width="40" customWidth="1"/>
  </cols>
  <sheetData>
    <row r="1" spans="1:5" ht="21" x14ac:dyDescent="0.25">
      <c r="A1" s="5" t="s">
        <v>406</v>
      </c>
    </row>
    <row r="3" spans="1:5" x14ac:dyDescent="0.2">
      <c r="A3" s="6" t="s">
        <v>406</v>
      </c>
    </row>
    <row r="4" spans="1:5" ht="31.25" customHeight="1" x14ac:dyDescent="0.2">
      <c r="A4" s="7" t="s">
        <v>46</v>
      </c>
      <c r="B4" s="31" t="s">
        <v>407</v>
      </c>
      <c r="C4" s="32"/>
      <c r="D4" s="32"/>
      <c r="E4" s="32"/>
    </row>
    <row r="5" spans="1:5" ht="31.25" customHeight="1" x14ac:dyDescent="0.2">
      <c r="A5" s="7" t="s">
        <v>48</v>
      </c>
      <c r="B5" s="31" t="s">
        <v>408</v>
      </c>
      <c r="C5" s="32"/>
      <c r="D5" s="32"/>
      <c r="E5" s="32"/>
    </row>
    <row r="6" spans="1:5" ht="62.5" customHeight="1" x14ac:dyDescent="0.2">
      <c r="A6" s="7" t="s">
        <v>50</v>
      </c>
      <c r="B6" s="31" t="s">
        <v>409</v>
      </c>
      <c r="C6" s="32"/>
      <c r="D6" s="32"/>
      <c r="E6" s="32"/>
    </row>
    <row r="7" spans="1:5" ht="15.5" customHeight="1" x14ac:dyDescent="0.2">
      <c r="A7" s="7" t="s">
        <v>52</v>
      </c>
      <c r="B7" s="31" t="s">
        <v>410</v>
      </c>
      <c r="C7" s="32"/>
      <c r="D7" s="32"/>
      <c r="E7" s="32"/>
    </row>
    <row r="8" spans="1:5" ht="15.5" customHeight="1" x14ac:dyDescent="0.2">
      <c r="A8" s="7" t="s">
        <v>54</v>
      </c>
      <c r="B8" s="31" t="s">
        <v>411</v>
      </c>
      <c r="C8" s="32"/>
      <c r="D8" s="32"/>
      <c r="E8" s="32"/>
    </row>
    <row r="9" spans="1:5" x14ac:dyDescent="0.2">
      <c r="A9" s="8" t="s">
        <v>412</v>
      </c>
      <c r="B9" s="8" t="s">
        <v>413</v>
      </c>
      <c r="C9" s="8" t="s">
        <v>414</v>
      </c>
      <c r="D9" s="8" t="s">
        <v>415</v>
      </c>
      <c r="E9" s="8" t="s">
        <v>59</v>
      </c>
    </row>
    <row r="10" spans="1:5" x14ac:dyDescent="0.2">
      <c r="A10" t="s">
        <v>416</v>
      </c>
      <c r="B10" t="s">
        <v>417</v>
      </c>
      <c r="C10" s="14">
        <v>104000</v>
      </c>
      <c r="D10">
        <v>7</v>
      </c>
      <c r="E10" t="s">
        <v>418</v>
      </c>
    </row>
    <row r="11" spans="1:5" x14ac:dyDescent="0.2">
      <c r="A11" t="s">
        <v>419</v>
      </c>
      <c r="B11" t="s">
        <v>420</v>
      </c>
      <c r="C11" s="14">
        <v>67500</v>
      </c>
      <c r="D11">
        <v>7</v>
      </c>
      <c r="E11" t="s">
        <v>421</v>
      </c>
    </row>
    <row r="12" spans="1:5" x14ac:dyDescent="0.2">
      <c r="A12" t="s">
        <v>422</v>
      </c>
      <c r="B12" t="s">
        <v>423</v>
      </c>
      <c r="C12" s="14">
        <v>78000</v>
      </c>
      <c r="D12">
        <v>14</v>
      </c>
      <c r="E12" t="s">
        <v>424</v>
      </c>
    </row>
    <row r="13" spans="1:5" x14ac:dyDescent="0.2">
      <c r="A13" t="s">
        <v>425</v>
      </c>
      <c r="B13" t="s">
        <v>426</v>
      </c>
      <c r="C13" s="14">
        <v>36000</v>
      </c>
      <c r="D13">
        <v>3</v>
      </c>
      <c r="E13" t="s">
        <v>427</v>
      </c>
    </row>
    <row r="16" spans="1:5" x14ac:dyDescent="0.2">
      <c r="A16" s="6" t="s">
        <v>428</v>
      </c>
    </row>
    <row r="17" spans="1:4" ht="31.25" customHeight="1" x14ac:dyDescent="0.2">
      <c r="A17" s="7" t="s">
        <v>46</v>
      </c>
      <c r="B17" s="31" t="s">
        <v>429</v>
      </c>
      <c r="C17" s="32"/>
      <c r="D17" s="32"/>
    </row>
    <row r="18" spans="1:4" ht="31.25" customHeight="1" x14ac:dyDescent="0.2">
      <c r="A18" s="7" t="s">
        <v>48</v>
      </c>
      <c r="B18" s="31" t="s">
        <v>430</v>
      </c>
      <c r="C18" s="32"/>
      <c r="D18" s="32"/>
    </row>
    <row r="19" spans="1:4" ht="78" customHeight="1" x14ac:dyDescent="0.2">
      <c r="A19" s="7" t="s">
        <v>50</v>
      </c>
      <c r="B19" s="31" t="s">
        <v>431</v>
      </c>
      <c r="C19" s="32"/>
      <c r="D19" s="32"/>
    </row>
    <row r="20" spans="1:4" ht="31.25" customHeight="1" x14ac:dyDescent="0.2">
      <c r="A20" s="7" t="s">
        <v>52</v>
      </c>
      <c r="B20" s="31" t="s">
        <v>432</v>
      </c>
      <c r="C20" s="32"/>
      <c r="D20" s="32"/>
    </row>
    <row r="21" spans="1:4" ht="15.5" customHeight="1" x14ac:dyDescent="0.2">
      <c r="A21" s="7" t="s">
        <v>54</v>
      </c>
      <c r="B21" s="31" t="s">
        <v>433</v>
      </c>
      <c r="C21" s="32"/>
      <c r="D21" s="32"/>
    </row>
    <row r="22" spans="1:4" x14ac:dyDescent="0.2">
      <c r="A22" s="8" t="s">
        <v>93</v>
      </c>
      <c r="B22" s="8" t="s">
        <v>434</v>
      </c>
      <c r="C22" s="8" t="s">
        <v>435</v>
      </c>
      <c r="D22" s="8" t="s">
        <v>436</v>
      </c>
    </row>
    <row r="23" spans="1:4" x14ac:dyDescent="0.2">
      <c r="A23" t="s">
        <v>65</v>
      </c>
      <c r="B23" s="10">
        <v>0</v>
      </c>
      <c r="C23" s="10">
        <v>0</v>
      </c>
      <c r="D23" s="10">
        <v>0</v>
      </c>
    </row>
    <row r="24" spans="1:4" x14ac:dyDescent="0.2">
      <c r="A24" t="s">
        <v>328</v>
      </c>
      <c r="B24" s="10">
        <v>4.0000000000000001E-3</v>
      </c>
      <c r="C24" s="10">
        <v>-0.02</v>
      </c>
      <c r="D24" s="10">
        <v>0.1</v>
      </c>
    </row>
    <row r="25" spans="1:4" x14ac:dyDescent="0.2">
      <c r="A25" t="s">
        <v>329</v>
      </c>
      <c r="B25" s="10">
        <v>-3.0000000000000001E-3</v>
      </c>
      <c r="C25" s="10">
        <v>0.01</v>
      </c>
      <c r="D25" s="10">
        <v>-0.1</v>
      </c>
    </row>
  </sheetData>
  <mergeCells count="10">
    <mergeCell ref="B21:D21"/>
    <mergeCell ref="B5:E5"/>
    <mergeCell ref="B20:D20"/>
    <mergeCell ref="B19:D19"/>
    <mergeCell ref="B8:E8"/>
    <mergeCell ref="B4:E4"/>
    <mergeCell ref="B6:E6"/>
    <mergeCell ref="B17:D17"/>
    <mergeCell ref="B18:D18"/>
    <mergeCell ref="B7:E7"/>
  </mergeCells>
  <pageMargins left="0.75" right="0.75" top="1" bottom="1" header="0.5" footer="0.5"/>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G35"/>
  <sheetViews>
    <sheetView workbookViewId="0"/>
  </sheetViews>
  <sheetFormatPr baseColWidth="10" defaultColWidth="8.83203125" defaultRowHeight="15" x14ac:dyDescent="0.2"/>
  <cols>
    <col min="1" max="1" width="28" customWidth="1"/>
    <col min="2" max="5" width="12" customWidth="1"/>
    <col min="6" max="6" width="30" customWidth="1"/>
    <col min="7" max="7" width="35" customWidth="1"/>
  </cols>
  <sheetData>
    <row r="1" spans="1:6" ht="21" x14ac:dyDescent="0.25">
      <c r="A1" s="5" t="s">
        <v>437</v>
      </c>
    </row>
    <row r="3" spans="1:6" x14ac:dyDescent="0.2">
      <c r="A3" s="6" t="s">
        <v>438</v>
      </c>
    </row>
    <row r="4" spans="1:6" ht="31.25" customHeight="1" x14ac:dyDescent="0.2">
      <c r="A4" s="7" t="s">
        <v>46</v>
      </c>
      <c r="B4" s="31" t="s">
        <v>439</v>
      </c>
      <c r="C4" s="32"/>
      <c r="D4" s="32"/>
      <c r="E4" s="32"/>
      <c r="F4" s="32"/>
    </row>
    <row r="5" spans="1:6" ht="31.25" customHeight="1" x14ac:dyDescent="0.2">
      <c r="A5" s="7" t="s">
        <v>48</v>
      </c>
      <c r="B5" s="31" t="s">
        <v>440</v>
      </c>
      <c r="C5" s="32"/>
      <c r="D5" s="32"/>
      <c r="E5" s="32"/>
      <c r="F5" s="32"/>
    </row>
    <row r="6" spans="1:6" ht="62.5" customHeight="1" x14ac:dyDescent="0.2">
      <c r="A6" s="7" t="s">
        <v>50</v>
      </c>
      <c r="B6" s="31" t="s">
        <v>441</v>
      </c>
      <c r="C6" s="32"/>
      <c r="D6" s="32"/>
      <c r="E6" s="32"/>
      <c r="F6" s="32"/>
    </row>
    <row r="7" spans="1:6" ht="15.5" customHeight="1" x14ac:dyDescent="0.2">
      <c r="A7" s="7" t="s">
        <v>52</v>
      </c>
      <c r="B7" s="31" t="s">
        <v>442</v>
      </c>
      <c r="C7" s="32"/>
      <c r="D7" s="32"/>
      <c r="E7" s="32"/>
      <c r="F7" s="32"/>
    </row>
    <row r="8" spans="1:6" ht="15.5" customHeight="1" x14ac:dyDescent="0.2">
      <c r="A8" s="7" t="s">
        <v>54</v>
      </c>
      <c r="B8" s="31" t="s">
        <v>443</v>
      </c>
      <c r="C8" s="32"/>
      <c r="D8" s="32"/>
      <c r="E8" s="32"/>
      <c r="F8" s="32"/>
    </row>
    <row r="9" spans="1:6" x14ac:dyDescent="0.2">
      <c r="A9" s="8" t="s">
        <v>369</v>
      </c>
      <c r="B9" s="8" t="s">
        <v>387</v>
      </c>
      <c r="C9" s="8" t="s">
        <v>388</v>
      </c>
      <c r="D9" s="8" t="s">
        <v>389</v>
      </c>
      <c r="E9" s="8" t="s">
        <v>444</v>
      </c>
      <c r="F9" s="8" t="s">
        <v>179</v>
      </c>
    </row>
    <row r="10" spans="1:6" x14ac:dyDescent="0.2">
      <c r="A10" t="s">
        <v>445</v>
      </c>
      <c r="B10" s="9">
        <v>14</v>
      </c>
      <c r="C10" s="9">
        <v>21</v>
      </c>
      <c r="D10" s="9">
        <v>35</v>
      </c>
      <c r="E10" t="s">
        <v>240</v>
      </c>
      <c r="F10" t="s">
        <v>23</v>
      </c>
    </row>
    <row r="11" spans="1:6" x14ac:dyDescent="0.2">
      <c r="A11" t="s">
        <v>446</v>
      </c>
      <c r="B11" s="14">
        <v>3000</v>
      </c>
      <c r="C11" s="14">
        <v>7500</v>
      </c>
      <c r="D11" s="14">
        <v>15000</v>
      </c>
      <c r="E11" t="s">
        <v>285</v>
      </c>
      <c r="F11" t="s">
        <v>23</v>
      </c>
    </row>
    <row r="12" spans="1:6" x14ac:dyDescent="0.2">
      <c r="A12" t="s">
        <v>447</v>
      </c>
      <c r="B12" s="9">
        <v>1</v>
      </c>
      <c r="C12" s="9">
        <v>3</v>
      </c>
      <c r="D12" s="9">
        <v>8</v>
      </c>
      <c r="E12" t="s">
        <v>448</v>
      </c>
      <c r="F12" t="s">
        <v>23</v>
      </c>
    </row>
    <row r="13" spans="1:6" x14ac:dyDescent="0.2">
      <c r="A13" t="s">
        <v>449</v>
      </c>
      <c r="B13" s="9">
        <v>0.7</v>
      </c>
      <c r="C13" s="9">
        <v>1</v>
      </c>
      <c r="D13" s="9">
        <v>1.3</v>
      </c>
      <c r="E13" t="s">
        <v>450</v>
      </c>
      <c r="F13" t="s">
        <v>23</v>
      </c>
    </row>
    <row r="16" spans="1:6" x14ac:dyDescent="0.2">
      <c r="A16" s="6" t="s">
        <v>451</v>
      </c>
    </row>
    <row r="17" spans="1:7" ht="15.5" customHeight="1" x14ac:dyDescent="0.2">
      <c r="A17" s="7" t="s">
        <v>46</v>
      </c>
      <c r="B17" s="31" t="s">
        <v>452</v>
      </c>
      <c r="C17" s="32"/>
      <c r="D17" s="32"/>
      <c r="E17" s="32"/>
      <c r="F17" s="32"/>
      <c r="G17" s="32"/>
    </row>
    <row r="18" spans="1:7" ht="15.5" customHeight="1" x14ac:dyDescent="0.2">
      <c r="A18" s="7" t="s">
        <v>48</v>
      </c>
      <c r="B18" s="31" t="s">
        <v>453</v>
      </c>
      <c r="C18" s="32"/>
      <c r="D18" s="32"/>
      <c r="E18" s="32"/>
      <c r="F18" s="32"/>
      <c r="G18" s="32"/>
    </row>
    <row r="19" spans="1:7" ht="46.75" customHeight="1" x14ac:dyDescent="0.2">
      <c r="A19" s="7" t="s">
        <v>50</v>
      </c>
      <c r="B19" s="31" t="s">
        <v>454</v>
      </c>
      <c r="C19" s="32"/>
      <c r="D19" s="32"/>
      <c r="E19" s="32"/>
      <c r="F19" s="32"/>
      <c r="G19" s="32"/>
    </row>
    <row r="20" spans="1:7" ht="15.5" customHeight="1" x14ac:dyDescent="0.2">
      <c r="A20" s="7" t="s">
        <v>52</v>
      </c>
      <c r="B20" s="31" t="s">
        <v>455</v>
      </c>
      <c r="C20" s="32"/>
      <c r="D20" s="32"/>
      <c r="E20" s="32"/>
      <c r="F20" s="32"/>
      <c r="G20" s="32"/>
    </row>
    <row r="21" spans="1:7" ht="15.5" customHeight="1" x14ac:dyDescent="0.2">
      <c r="A21" s="7" t="s">
        <v>54</v>
      </c>
      <c r="B21" s="31" t="s">
        <v>456</v>
      </c>
      <c r="C21" s="32"/>
      <c r="D21" s="32"/>
      <c r="E21" s="32"/>
      <c r="F21" s="32"/>
      <c r="G21" s="32"/>
    </row>
    <row r="22" spans="1:7" x14ac:dyDescent="0.2">
      <c r="A22" s="8" t="s">
        <v>369</v>
      </c>
      <c r="B22" s="8" t="s">
        <v>457</v>
      </c>
      <c r="C22" s="8" t="s">
        <v>458</v>
      </c>
      <c r="D22" s="8" t="s">
        <v>387</v>
      </c>
      <c r="E22" s="8" t="s">
        <v>389</v>
      </c>
      <c r="F22" s="8" t="s">
        <v>444</v>
      </c>
      <c r="G22" s="8" t="s">
        <v>179</v>
      </c>
    </row>
    <row r="23" spans="1:7" x14ac:dyDescent="0.2">
      <c r="A23" t="s">
        <v>459</v>
      </c>
      <c r="B23" s="9">
        <v>2</v>
      </c>
      <c r="C23" s="9">
        <v>5</v>
      </c>
      <c r="D23" s="9">
        <v>0.05</v>
      </c>
      <c r="E23" s="9">
        <v>0.4</v>
      </c>
      <c r="F23" t="s">
        <v>460</v>
      </c>
    </row>
    <row r="26" spans="1:7" x14ac:dyDescent="0.2">
      <c r="A26" s="6" t="s">
        <v>461</v>
      </c>
    </row>
    <row r="27" spans="1:7" ht="31.25" customHeight="1" x14ac:dyDescent="0.2">
      <c r="A27" s="7" t="s">
        <v>46</v>
      </c>
      <c r="B27" s="31" t="s">
        <v>462</v>
      </c>
      <c r="C27" s="32"/>
      <c r="D27" s="32"/>
      <c r="E27" s="32"/>
    </row>
    <row r="28" spans="1:7" ht="31.25" customHeight="1" x14ac:dyDescent="0.2">
      <c r="A28" s="7" t="s">
        <v>48</v>
      </c>
      <c r="B28" s="31" t="s">
        <v>463</v>
      </c>
      <c r="C28" s="32"/>
      <c r="D28" s="32"/>
      <c r="E28" s="32"/>
    </row>
    <row r="29" spans="1:7" ht="124.75" customHeight="1" x14ac:dyDescent="0.2">
      <c r="A29" s="7" t="s">
        <v>50</v>
      </c>
      <c r="B29" s="31" t="s">
        <v>464</v>
      </c>
      <c r="C29" s="32"/>
      <c r="D29" s="32"/>
      <c r="E29" s="32"/>
    </row>
    <row r="30" spans="1:7" ht="31.25" customHeight="1" x14ac:dyDescent="0.2">
      <c r="A30" s="7" t="s">
        <v>52</v>
      </c>
      <c r="B30" s="31" t="s">
        <v>465</v>
      </c>
      <c r="C30" s="32"/>
      <c r="D30" s="32"/>
      <c r="E30" s="32"/>
    </row>
    <row r="31" spans="1:7" ht="15.5" customHeight="1" x14ac:dyDescent="0.2">
      <c r="A31" s="7" t="s">
        <v>54</v>
      </c>
      <c r="B31" s="31" t="s">
        <v>466</v>
      </c>
      <c r="C31" s="32"/>
      <c r="D31" s="32"/>
      <c r="E31" s="32"/>
    </row>
    <row r="32" spans="1:7" x14ac:dyDescent="0.2">
      <c r="A32" s="8" t="s">
        <v>467</v>
      </c>
      <c r="B32" s="8" t="s">
        <v>468</v>
      </c>
      <c r="C32" s="8" t="s">
        <v>65</v>
      </c>
      <c r="D32" s="8" t="s">
        <v>469</v>
      </c>
      <c r="E32" s="8" t="s">
        <v>470</v>
      </c>
    </row>
    <row r="33" spans="1:5" x14ac:dyDescent="0.2">
      <c r="A33" t="s">
        <v>471</v>
      </c>
      <c r="B33" s="14">
        <v>3</v>
      </c>
      <c r="C33" s="14">
        <v>5</v>
      </c>
      <c r="D33" s="14">
        <v>8</v>
      </c>
      <c r="E33" t="s">
        <v>472</v>
      </c>
    </row>
    <row r="34" spans="1:5" x14ac:dyDescent="0.2">
      <c r="A34" t="s">
        <v>473</v>
      </c>
      <c r="B34" s="14">
        <v>10</v>
      </c>
      <c r="C34" s="14">
        <v>20</v>
      </c>
      <c r="D34" s="14">
        <v>30</v>
      </c>
      <c r="E34" t="s">
        <v>474</v>
      </c>
    </row>
    <row r="35" spans="1:5" x14ac:dyDescent="0.2">
      <c r="A35" t="s">
        <v>475</v>
      </c>
      <c r="B35" s="14">
        <v>21</v>
      </c>
      <c r="C35" s="14">
        <v>50</v>
      </c>
      <c r="D35" s="14">
        <v>93</v>
      </c>
      <c r="E35" t="s">
        <v>476</v>
      </c>
    </row>
  </sheetData>
  <mergeCells count="15">
    <mergeCell ref="B31:E31"/>
    <mergeCell ref="B6:F6"/>
    <mergeCell ref="B17:G17"/>
    <mergeCell ref="B30:E30"/>
    <mergeCell ref="B5:F5"/>
    <mergeCell ref="B29:E29"/>
    <mergeCell ref="B18:G18"/>
    <mergeCell ref="B8:F8"/>
    <mergeCell ref="B21:G21"/>
    <mergeCell ref="B28:E28"/>
    <mergeCell ref="B4:F4"/>
    <mergeCell ref="B19:G19"/>
    <mergeCell ref="B20:G20"/>
    <mergeCell ref="B27:E27"/>
    <mergeCell ref="B7:F7"/>
  </mergeCells>
  <pageMargins left="0.75" right="0.75" top="1" bottom="1" header="0.5" footer="0.5"/>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E30"/>
  <sheetViews>
    <sheetView workbookViewId="0"/>
  </sheetViews>
  <sheetFormatPr baseColWidth="10" defaultColWidth="8.83203125" defaultRowHeight="15" x14ac:dyDescent="0.2"/>
  <cols>
    <col min="1" max="1" width="20" customWidth="1"/>
    <col min="2" max="2" width="36" customWidth="1"/>
    <col min="3" max="3" width="16" customWidth="1"/>
    <col min="4" max="4" width="12" customWidth="1"/>
    <col min="5" max="5" width="14" customWidth="1"/>
  </cols>
  <sheetData>
    <row r="1" spans="1:5" ht="21" x14ac:dyDescent="0.25">
      <c r="A1" s="5" t="s">
        <v>477</v>
      </c>
    </row>
    <row r="3" spans="1:5" x14ac:dyDescent="0.2">
      <c r="A3" s="36" t="s">
        <v>478</v>
      </c>
      <c r="B3" s="34"/>
      <c r="C3" s="34"/>
      <c r="D3" s="34"/>
      <c r="E3" s="35"/>
    </row>
    <row r="4" spans="1:5" ht="140.5" customHeight="1" x14ac:dyDescent="0.2">
      <c r="A4" s="33" t="s">
        <v>479</v>
      </c>
      <c r="B4" s="34"/>
      <c r="C4" s="34"/>
      <c r="D4" s="34"/>
      <c r="E4" s="35"/>
    </row>
    <row r="6" spans="1:5" x14ac:dyDescent="0.2">
      <c r="A6" s="6" t="s">
        <v>477</v>
      </c>
    </row>
    <row r="7" spans="1:5" ht="31.25" customHeight="1" x14ac:dyDescent="0.2">
      <c r="A7" s="7" t="s">
        <v>46</v>
      </c>
      <c r="B7" s="31" t="s">
        <v>480</v>
      </c>
      <c r="C7" s="32"/>
      <c r="D7" s="32"/>
      <c r="E7" s="32"/>
    </row>
    <row r="8" spans="1:5" ht="15.5" customHeight="1" x14ac:dyDescent="0.2">
      <c r="A8" s="7" t="s">
        <v>48</v>
      </c>
      <c r="B8" s="31" t="s">
        <v>481</v>
      </c>
      <c r="C8" s="32"/>
      <c r="D8" s="32"/>
      <c r="E8" s="32"/>
    </row>
    <row r="9" spans="1:5" ht="46.75" customHeight="1" x14ac:dyDescent="0.2">
      <c r="A9" s="7" t="s">
        <v>50</v>
      </c>
      <c r="B9" s="31" t="s">
        <v>482</v>
      </c>
      <c r="C9" s="32"/>
      <c r="D9" s="32"/>
      <c r="E9" s="32"/>
    </row>
    <row r="10" spans="1:5" ht="15.5" customHeight="1" x14ac:dyDescent="0.2">
      <c r="A10" s="7" t="s">
        <v>52</v>
      </c>
      <c r="B10" s="31" t="s">
        <v>483</v>
      </c>
      <c r="C10" s="32"/>
      <c r="D10" s="32"/>
      <c r="E10" s="32"/>
    </row>
    <row r="11" spans="1:5" ht="15.5" customHeight="1" x14ac:dyDescent="0.2">
      <c r="A11" s="7" t="s">
        <v>54</v>
      </c>
      <c r="B11" s="31" t="s">
        <v>484</v>
      </c>
      <c r="C11" s="32"/>
      <c r="D11" s="32"/>
      <c r="E11" s="32"/>
    </row>
    <row r="12" spans="1:5" x14ac:dyDescent="0.2">
      <c r="A12" s="8" t="s">
        <v>485</v>
      </c>
      <c r="B12" s="8" t="s">
        <v>486</v>
      </c>
      <c r="C12" s="8" t="s">
        <v>239</v>
      </c>
      <c r="D12" s="8" t="s">
        <v>487</v>
      </c>
      <c r="E12" s="8" t="s">
        <v>488</v>
      </c>
    </row>
    <row r="13" spans="1:5" x14ac:dyDescent="0.2">
      <c r="A13">
        <v>0</v>
      </c>
      <c r="B13">
        <f>Base_Year+0</f>
        <v>2026</v>
      </c>
      <c r="C13">
        <f t="shared" ref="C13:C18" si="0">Season_Length</f>
        <v>100</v>
      </c>
      <c r="D13">
        <v>1</v>
      </c>
      <c r="E13">
        <v>1</v>
      </c>
    </row>
    <row r="14" spans="1:5" x14ac:dyDescent="0.2">
      <c r="A14">
        <v>1</v>
      </c>
      <c r="B14">
        <f>Base_Year+1</f>
        <v>2027</v>
      </c>
      <c r="C14">
        <f t="shared" si="0"/>
        <v>100</v>
      </c>
      <c r="D14">
        <f>1/(1+Discount_Rate)^1</f>
        <v>0.95419847328244267</v>
      </c>
      <c r="E14">
        <f>INDEX(LearningCurve_Mult,1)</f>
        <v>0.5</v>
      </c>
    </row>
    <row r="15" spans="1:5" x14ac:dyDescent="0.2">
      <c r="A15">
        <v>2</v>
      </c>
      <c r="B15">
        <f>Base_Year+2</f>
        <v>2028</v>
      </c>
      <c r="C15">
        <f t="shared" si="0"/>
        <v>100</v>
      </c>
      <c r="D15">
        <f>1/(1+Discount_Rate)^2</f>
        <v>0.91049472641454443</v>
      </c>
      <c r="E15">
        <f>INDEX(LearningCurve_Mult,2)</f>
        <v>0.75</v>
      </c>
    </row>
    <row r="16" spans="1:5" x14ac:dyDescent="0.2">
      <c r="A16">
        <v>3</v>
      </c>
      <c r="B16">
        <f>Base_Year+3</f>
        <v>2029</v>
      </c>
      <c r="C16">
        <f t="shared" si="0"/>
        <v>100</v>
      </c>
      <c r="D16">
        <f>1/(1+Discount_Rate)^3</f>
        <v>0.86879267787647374</v>
      </c>
      <c r="E16">
        <f>INDEX(LearningCurve_Mult,3)</f>
        <v>1</v>
      </c>
    </row>
    <row r="17" spans="1:5" x14ac:dyDescent="0.2">
      <c r="A17">
        <v>4</v>
      </c>
      <c r="B17">
        <f>Base_Year+4</f>
        <v>2030</v>
      </c>
      <c r="C17">
        <f t="shared" si="0"/>
        <v>100</v>
      </c>
      <c r="D17">
        <f>1/(1+Discount_Rate)^4</f>
        <v>0.82900064682869612</v>
      </c>
      <c r="E17">
        <f>INDEX(LearningCurve_Mult,4)</f>
        <v>1</v>
      </c>
    </row>
    <row r="18" spans="1:5" x14ac:dyDescent="0.2">
      <c r="A18">
        <v>5</v>
      </c>
      <c r="B18">
        <f>Base_Year+5</f>
        <v>2031</v>
      </c>
      <c r="C18">
        <f t="shared" si="0"/>
        <v>100</v>
      </c>
      <c r="D18">
        <f>1/(1+Discount_Rate)^5</f>
        <v>0.79103115155409931</v>
      </c>
      <c r="E18">
        <f>INDEX(LearningCurve_Mult,5)</f>
        <v>1</v>
      </c>
    </row>
    <row r="21" spans="1:5" ht="19" x14ac:dyDescent="0.25">
      <c r="A21" s="4" t="s">
        <v>489</v>
      </c>
    </row>
    <row r="22" spans="1:5" x14ac:dyDescent="0.2">
      <c r="A22" s="20" t="s">
        <v>490</v>
      </c>
    </row>
    <row r="23" spans="1:5" x14ac:dyDescent="0.2">
      <c r="A23" s="8" t="s">
        <v>491</v>
      </c>
      <c r="B23" s="8" t="s">
        <v>492</v>
      </c>
      <c r="C23" s="8" t="s">
        <v>57</v>
      </c>
      <c r="D23" s="8" t="s">
        <v>227</v>
      </c>
    </row>
    <row r="24" spans="1:5" x14ac:dyDescent="0.2">
      <c r="A24" t="s">
        <v>206</v>
      </c>
      <c r="B24" t="s">
        <v>493</v>
      </c>
      <c r="C24" s="21">
        <f ca="1">Rapid_Phase_Rate*Stoch_TreatmentRate</f>
        <v>0.50335484984460854</v>
      </c>
      <c r="D24" t="s">
        <v>341</v>
      </c>
    </row>
    <row r="25" spans="1:5" x14ac:dyDescent="0.2">
      <c r="A25" t="s">
        <v>207</v>
      </c>
      <c r="B25" t="s">
        <v>494</v>
      </c>
      <c r="C25" s="21">
        <f ca="1">Slow_Phase_Rate*Stoch_TreatmentRate</f>
        <v>0.23464662173207315</v>
      </c>
      <c r="D25" t="s">
        <v>341</v>
      </c>
    </row>
    <row r="26" spans="1:5" x14ac:dyDescent="0.2">
      <c r="A26" t="s">
        <v>208</v>
      </c>
      <c r="B26" t="s">
        <v>495</v>
      </c>
      <c r="C26" s="22">
        <f ca="1">MAX(0,Initial_NAFC-Eff_Rapid_Rate*Rapid_Phase_Duration)</f>
        <v>55.549677252330874</v>
      </c>
      <c r="D26" t="s">
        <v>338</v>
      </c>
    </row>
    <row r="27" spans="1:5" x14ac:dyDescent="0.2">
      <c r="A27" t="s">
        <v>209</v>
      </c>
      <c r="B27" t="s">
        <v>496</v>
      </c>
      <c r="C27" s="23">
        <f ca="1">IF(Initial_NAFC&lt;=Target_NAFC,0,IF(NAFC_After_Rapid&lt;=Target_NAFC,(Initial_NAFC-Target_NAFC)/Eff_Rapid_Rate,Rapid_Phase_Duration+(NAFC_After_Rapid-Target_NAFC)/Eff_Slow_Rate))</f>
        <v>38.651213093822712</v>
      </c>
      <c r="D27" t="s">
        <v>240</v>
      </c>
    </row>
    <row r="28" spans="1:5" x14ac:dyDescent="0.2">
      <c r="A28" t="s">
        <v>497</v>
      </c>
      <c r="B28" t="s">
        <v>498</v>
      </c>
      <c r="C28" s="24">
        <f ca="1">CEILING(Days_to_Compliance/Recirculation_Cycle,1)</f>
        <v>3</v>
      </c>
      <c r="D28" t="s">
        <v>499</v>
      </c>
    </row>
    <row r="29" spans="1:5" x14ac:dyDescent="0.2">
      <c r="A29" t="s">
        <v>500</v>
      </c>
      <c r="B29" t="s">
        <v>501</v>
      </c>
      <c r="C29" s="25">
        <f>(Initial_NAFC-Target_NAFC)/Initial_NAFC</f>
        <v>0.2076069730586371</v>
      </c>
      <c r="D29" t="s">
        <v>460</v>
      </c>
    </row>
    <row r="30" spans="1:5" x14ac:dyDescent="0.2">
      <c r="A30" t="s">
        <v>502</v>
      </c>
      <c r="B30" t="s">
        <v>503</v>
      </c>
      <c r="C30" t="str">
        <f ca="1">IF(Days_to_Compliance&lt;=Season_Length,"ACHIEVABLE","EXCEEDS SEASON")</f>
        <v>ACHIEVABLE</v>
      </c>
      <c r="D30" t="s">
        <v>504</v>
      </c>
    </row>
  </sheetData>
  <mergeCells count="7">
    <mergeCell ref="A3:E3"/>
    <mergeCell ref="B9:E9"/>
    <mergeCell ref="A4:E4"/>
    <mergeCell ref="B8:E8"/>
    <mergeCell ref="B7:E7"/>
    <mergeCell ref="B11:E11"/>
    <mergeCell ref="B10:E10"/>
  </mergeCells>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E17"/>
  <sheetViews>
    <sheetView workbookViewId="0"/>
  </sheetViews>
  <sheetFormatPr baseColWidth="10" defaultColWidth="8.83203125" defaultRowHeight="15" x14ac:dyDescent="0.2"/>
  <cols>
    <col min="1" max="1" width="24" customWidth="1"/>
    <col min="2" max="2" width="55" customWidth="1"/>
    <col min="3" max="3" width="14" customWidth="1"/>
    <col min="4" max="4" width="12" customWidth="1"/>
    <col min="5" max="5" width="35" customWidth="1"/>
  </cols>
  <sheetData>
    <row r="1" spans="1:5" ht="21" x14ac:dyDescent="0.25">
      <c r="A1" s="5" t="s">
        <v>505</v>
      </c>
    </row>
    <row r="3" spans="1:5" x14ac:dyDescent="0.2">
      <c r="A3" s="36" t="s">
        <v>506</v>
      </c>
      <c r="B3" s="34"/>
      <c r="C3" s="34"/>
      <c r="D3" s="34"/>
      <c r="E3" s="35"/>
    </row>
    <row r="4" spans="1:5" ht="78" customHeight="1" x14ac:dyDescent="0.2">
      <c r="A4" s="33" t="s">
        <v>507</v>
      </c>
      <c r="B4" s="34"/>
      <c r="C4" s="34"/>
      <c r="D4" s="34"/>
      <c r="E4" s="35"/>
    </row>
    <row r="7" spans="1:5" x14ac:dyDescent="0.2">
      <c r="A7" s="8" t="s">
        <v>508</v>
      </c>
      <c r="B7" s="8" t="s">
        <v>492</v>
      </c>
      <c r="C7" s="8" t="s">
        <v>57</v>
      </c>
      <c r="D7" s="8" t="s">
        <v>227</v>
      </c>
      <c r="E7" s="8" t="s">
        <v>228</v>
      </c>
    </row>
    <row r="8" spans="1:5" x14ac:dyDescent="0.2">
      <c r="A8" t="s">
        <v>509</v>
      </c>
      <c r="B8" t="e">
        <f>2^((Stoch_Temp-20)/10)</f>
        <v>#NAME?</v>
      </c>
      <c r="C8" s="21">
        <f>2^((Env_Temp_Water_Jul-20)/10)</f>
        <v>1</v>
      </c>
      <c r="D8" t="s">
        <v>450</v>
      </c>
      <c r="E8" t="s">
        <v>510</v>
      </c>
    </row>
    <row r="9" spans="1:5" x14ac:dyDescent="0.2">
      <c r="A9" t="s">
        <v>511</v>
      </c>
      <c r="B9" t="e">
        <f>UV_Relative*(1-MIN(1,Turbidity/100))</f>
        <v>#NAME?</v>
      </c>
      <c r="C9" s="21">
        <f>Env_UV_Relative_Jul*(1-MIN(1,Ionic_Chloride_Mode/1000))</f>
        <v>0.85</v>
      </c>
      <c r="D9" t="s">
        <v>450</v>
      </c>
      <c r="E9" t="s">
        <v>512</v>
      </c>
    </row>
    <row r="10" spans="1:5" x14ac:dyDescent="0.2">
      <c r="A10" t="s">
        <v>513</v>
      </c>
      <c r="B10" t="e">
        <f>IF(DO&gt;=6.5,1,DO/6.5)</f>
        <v>#NAME?</v>
      </c>
      <c r="C10" s="21">
        <f>IF(Env_DO_Typical_Jul&gt;=6.5,1,Env_DO_Typical_Jul/6.5)</f>
        <v>1</v>
      </c>
      <c r="D10" t="s">
        <v>450</v>
      </c>
      <c r="E10" t="s">
        <v>514</v>
      </c>
    </row>
    <row r="11" spans="1:5" x14ac:dyDescent="0.2">
      <c r="A11" t="s">
        <v>515</v>
      </c>
      <c r="B11" t="e">
        <f>Nutrient_Index</f>
        <v>#NAME?</v>
      </c>
      <c r="C11" s="21">
        <f>Env_Nutrient_Index_Jul</f>
        <v>0.4</v>
      </c>
      <c r="D11" t="s">
        <v>450</v>
      </c>
      <c r="E11" t="s">
        <v>516</v>
      </c>
    </row>
    <row r="12" spans="1:5" x14ac:dyDescent="0.2">
      <c r="A12" t="s">
        <v>517</v>
      </c>
      <c r="B12" t="e">
        <f>Bioavail*(1-Clay*0.5)</f>
        <v>#NAME?</v>
      </c>
      <c r="C12" s="21">
        <f>Env_Bioavail_Index_Jul*(1-0.15*0.5)</f>
        <v>0.92500000000000004</v>
      </c>
      <c r="D12" t="s">
        <v>450</v>
      </c>
      <c r="E12" t="s">
        <v>518</v>
      </c>
    </row>
    <row r="15" spans="1:5" x14ac:dyDescent="0.2">
      <c r="A15" s="11" t="s">
        <v>519</v>
      </c>
    </row>
    <row r="16" spans="1:5" x14ac:dyDescent="0.2">
      <c r="A16" t="s">
        <v>520</v>
      </c>
      <c r="B16" t="e">
        <f>Base_Rate * Q10 * UV * DO * Nutrient * Bioavail * Stoch_Treatment</f>
        <v>#NAME?</v>
      </c>
      <c r="C16" s="21">
        <f ca="1">Rapid_Phase_Rate*Q10_Factor*UV_Modifier*DO_Modifier*Nutrient_Modifier*Bioavail_Modifier*Stoch_TreatmentRate</f>
        <v>0.1583051002761294</v>
      </c>
      <c r="D16" t="s">
        <v>341</v>
      </c>
      <c r="E16" t="s">
        <v>521</v>
      </c>
    </row>
    <row r="17" spans="1:5" x14ac:dyDescent="0.2">
      <c r="A17" t="s">
        <v>522</v>
      </c>
      <c r="B17">
        <f ca="1">Effective_Rate / Rapid_Phase_Rate</f>
        <v>0.29756597796264922</v>
      </c>
      <c r="C17" s="25">
        <f ca="1">Effective_Rate/Rapid_Phase_Rate</f>
        <v>0.29756597796264922</v>
      </c>
      <c r="D17" t="s">
        <v>460</v>
      </c>
      <c r="E17" t="s">
        <v>523</v>
      </c>
    </row>
  </sheetData>
  <mergeCells count="2">
    <mergeCell ref="A4:E4"/>
    <mergeCell ref="A3:E3"/>
  </mergeCell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18"/>
  <sheetViews>
    <sheetView workbookViewId="0"/>
  </sheetViews>
  <sheetFormatPr baseColWidth="10" defaultColWidth="8.83203125" defaultRowHeight="15" x14ac:dyDescent="0.2"/>
  <cols>
    <col min="1" max="1" width="22" customWidth="1"/>
    <col min="2" max="2" width="12" customWidth="1"/>
    <col min="3" max="3" width="70" customWidth="1"/>
  </cols>
  <sheetData>
    <row r="1" spans="1:3" ht="21" x14ac:dyDescent="0.25">
      <c r="A1" s="5" t="s">
        <v>524</v>
      </c>
    </row>
    <row r="2" spans="1:3" x14ac:dyDescent="0.2">
      <c r="A2" s="12" t="s">
        <v>525</v>
      </c>
    </row>
    <row r="4" spans="1:3" x14ac:dyDescent="0.2">
      <c r="A4" s="36" t="s">
        <v>526</v>
      </c>
      <c r="B4" s="34"/>
      <c r="C4" s="35"/>
    </row>
    <row r="5" spans="1:3" ht="202.75" customHeight="1" x14ac:dyDescent="0.2">
      <c r="A5" s="33" t="s">
        <v>527</v>
      </c>
      <c r="B5" s="34"/>
      <c r="C5" s="35"/>
    </row>
    <row r="7" spans="1:3" x14ac:dyDescent="0.2">
      <c r="A7" s="6" t="s">
        <v>524</v>
      </c>
    </row>
    <row r="8" spans="1:3" ht="31.25" customHeight="1" x14ac:dyDescent="0.2">
      <c r="A8" s="7" t="s">
        <v>46</v>
      </c>
      <c r="B8" s="31" t="s">
        <v>528</v>
      </c>
      <c r="C8" s="32"/>
    </row>
    <row r="9" spans="1:3" ht="15.5" customHeight="1" x14ac:dyDescent="0.2">
      <c r="A9" s="7" t="s">
        <v>48</v>
      </c>
      <c r="B9" s="31" t="s">
        <v>529</v>
      </c>
      <c r="C9" s="32"/>
    </row>
    <row r="10" spans="1:3" ht="46.75" customHeight="1" x14ac:dyDescent="0.2">
      <c r="A10" s="7" t="s">
        <v>50</v>
      </c>
      <c r="B10" s="31" t="s">
        <v>530</v>
      </c>
      <c r="C10" s="32"/>
    </row>
    <row r="11" spans="1:3" ht="15.5" customHeight="1" x14ac:dyDescent="0.2">
      <c r="A11" s="7" t="s">
        <v>52</v>
      </c>
      <c r="B11" s="31" t="s">
        <v>531</v>
      </c>
      <c r="C11" s="32"/>
    </row>
    <row r="12" spans="1:3" ht="15.5" customHeight="1" x14ac:dyDescent="0.2">
      <c r="A12" s="7" t="s">
        <v>54</v>
      </c>
      <c r="B12" s="31" t="s">
        <v>532</v>
      </c>
      <c r="C12" s="32"/>
    </row>
    <row r="13" spans="1:3" x14ac:dyDescent="0.2">
      <c r="A13" s="8" t="s">
        <v>369</v>
      </c>
      <c r="B13" s="8" t="s">
        <v>533</v>
      </c>
      <c r="C13" s="8" t="s">
        <v>534</v>
      </c>
    </row>
    <row r="14" spans="1:3" x14ac:dyDescent="0.2">
      <c r="A14" t="s">
        <v>535</v>
      </c>
      <c r="B14">
        <f ca="1">RAND()</f>
        <v>0.77334903714997771</v>
      </c>
      <c r="C14">
        <f ca="1">IF(B14&lt;(Tri_Season_Extension_Days_Mode-Tri_Season_Extension_Days_Min)/(Tri_Season_Extension_Days_Max-Tri_Season_Extension_Days_Min),Tri_Season_Extension_Days_Min+SQRT(B14*(Tri_Season_Extension_Days_Max-Tri_Season_Extension_Days_Min)*(Tri_Season_Extension_Days_Mode-Tri_Season_Extension_Days_Min)),Tri_Season_Extension_Days_Max-SQRT((1-B14)*(Tri_Season_Extension_Days_Max-Tri_Season_Extension_Days_Min)*(Tri_Season_Extension_Days_Max-Tri_Season_Extension_Days_Mode)))</f>
        <v>26.836950136259944</v>
      </c>
    </row>
    <row r="15" spans="1:3" x14ac:dyDescent="0.2">
      <c r="A15" t="s">
        <v>536</v>
      </c>
      <c r="B15">
        <f ca="1">RAND()</f>
        <v>0.61723145569962257</v>
      </c>
      <c r="C15">
        <f ca="1">IF(B15&lt;(Tri_Extension_Value_Per_Day_Mode-Tri_Extension_Value_Per_Day_Min)/(Tri_Extension_Value_Per_Day_Max-Tri_Extension_Value_Per_Day_Min),Tri_Extension_Value_Per_Day_Min+SQRT(B15*(Tri_Extension_Value_Per_Day_Max-Tri_Extension_Value_Per_Day_Min)*(Tri_Extension_Value_Per_Day_Mode-Tri_Extension_Value_Per_Day_Min)),Tri_Extension_Value_Per_Day_Max-SQRT((1-B15)*(Tri_Extension_Value_Per_Day_Max-Tri_Extension_Value_Per_Day_Min)*(Tri_Extension_Value_Per_Day_Max-Tri_Extension_Value_Per_Day_Mode)))</f>
        <v>9130.6585559337254</v>
      </c>
    </row>
    <row r="16" spans="1:3" x14ac:dyDescent="0.2">
      <c r="A16" t="s">
        <v>447</v>
      </c>
      <c r="B16">
        <f ca="1">RAND()</f>
        <v>0.48507544121731139</v>
      </c>
      <c r="C16">
        <f ca="1">IF(B16&lt;(Tri_Interventions_Avoided_Mode-Tri_Interventions_Avoided_Min)/(Tri_Interventions_Avoided_Max-Tri_Interventions_Avoided_Min),Tri_Interventions_Avoided_Min+SQRT(B16*(Tri_Interventions_Avoided_Max-Tri_Interventions_Avoided_Min)*(Tri_Interventions_Avoided_Mode-Tri_Interventions_Avoided_Min)),Tri_Interventions_Avoided_Max-SQRT((1-B16)*(Tri_Interventions_Avoided_Max-Tri_Interventions_Avoided_Min)*(Tri_Interventions_Avoided_Max-Tri_Interventions_Avoided_Mode)))</f>
        <v>3.7547250315916987</v>
      </c>
    </row>
    <row r="17" spans="1:3" x14ac:dyDescent="0.2">
      <c r="A17" t="s">
        <v>459</v>
      </c>
      <c r="B17">
        <f ca="1">RAND()</f>
        <v>0.86820718256332241</v>
      </c>
      <c r="C17">
        <f ca="1">Beta_Efficiency_Gain_Min+(Beta_Efficiency_Gain_Max-Beta_Efficiency_Gain_Min)*B17</f>
        <v>0.35387251389716284</v>
      </c>
    </row>
    <row r="18" spans="1:3" x14ac:dyDescent="0.2">
      <c r="A18" t="s">
        <v>449</v>
      </c>
      <c r="B18">
        <f ca="1">RAND()</f>
        <v>0.33662580436492195</v>
      </c>
      <c r="C18">
        <f ca="1">IF(B18&lt;(Tri_Treatment_Rate_Factor_Mode-Tri_Treatment_Rate_Factor_Min)/(Tri_Treatment_Rate_Factor_Max-Tri_Treatment_Rate_Factor_Min),Tri_Treatment_Rate_Factor_Min+SQRT(B18*(Tri_Treatment_Rate_Factor_Max-Tri_Treatment_Rate_Factor_Min)*(Tri_Treatment_Rate_Factor_Mode-Tri_Treatment_Rate_Factor_Min)),Tri_Treatment_Rate_Factor_Max-SQRT((1-B18)*(Tri_Treatment_Rate_Factor_Max-Tri_Treatment_Rate_Factor_Min)*(Tri_Treatment_Rate_Factor_Max-Tri_Treatment_Rate_Factor_Mode)))</f>
        <v>0.9461557327906176</v>
      </c>
    </row>
  </sheetData>
  <mergeCells count="7">
    <mergeCell ref="B12:C12"/>
    <mergeCell ref="A5:C5"/>
    <mergeCell ref="B11:C11"/>
    <mergeCell ref="B10:C10"/>
    <mergeCell ref="B9:C9"/>
    <mergeCell ref="A4:C4"/>
    <mergeCell ref="B8:C8"/>
  </mergeCell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F26"/>
  <sheetViews>
    <sheetView workbookViewId="0"/>
  </sheetViews>
  <sheetFormatPr baseColWidth="10" defaultColWidth="8.83203125" defaultRowHeight="15" x14ac:dyDescent="0.2"/>
  <cols>
    <col min="1" max="1" width="20" customWidth="1"/>
    <col min="2" max="2" width="14" customWidth="1"/>
    <col min="3" max="5" width="10" customWidth="1"/>
    <col min="6" max="6" width="35" customWidth="1"/>
  </cols>
  <sheetData>
    <row r="1" spans="1:6" ht="21" x14ac:dyDescent="0.25">
      <c r="A1" s="5" t="s">
        <v>537</v>
      </c>
    </row>
    <row r="3" spans="1:6" x14ac:dyDescent="0.2">
      <c r="A3" s="36" t="s">
        <v>538</v>
      </c>
      <c r="B3" s="34"/>
      <c r="C3" s="34"/>
      <c r="D3" s="34"/>
      <c r="E3" s="34"/>
      <c r="F3" s="35"/>
    </row>
    <row r="4" spans="1:6" ht="78" customHeight="1" x14ac:dyDescent="0.2">
      <c r="A4" s="33" t="s">
        <v>539</v>
      </c>
      <c r="B4" s="34"/>
      <c r="C4" s="34"/>
      <c r="D4" s="34"/>
      <c r="E4" s="34"/>
      <c r="F4" s="35"/>
    </row>
    <row r="7" spans="1:6" x14ac:dyDescent="0.2">
      <c r="A7" s="8" t="s">
        <v>540</v>
      </c>
      <c r="B7" s="8" t="s">
        <v>390</v>
      </c>
      <c r="C7" s="8" t="s">
        <v>391</v>
      </c>
      <c r="D7" s="8" t="s">
        <v>57</v>
      </c>
      <c r="E7" s="8" t="s">
        <v>541</v>
      </c>
      <c r="F7" s="8" t="s">
        <v>228</v>
      </c>
    </row>
    <row r="8" spans="1:6" x14ac:dyDescent="0.2">
      <c r="A8" t="s">
        <v>542</v>
      </c>
      <c r="B8" t="s">
        <v>543</v>
      </c>
      <c r="C8" t="s">
        <v>393</v>
      </c>
      <c r="D8" s="24" t="e">
        <f>IF(Final_NAFC&lt;=Target_NAFC,1,0)</f>
        <v>#NAME?</v>
      </c>
      <c r="E8" t="e">
        <f t="shared" ref="E8:E20" si="0">IF(D8=1,"PASS","FAIL")</f>
        <v>#NAME?</v>
      </c>
      <c r="F8" t="s">
        <v>544</v>
      </c>
    </row>
    <row r="9" spans="1:6" x14ac:dyDescent="0.2">
      <c r="A9" t="s">
        <v>392</v>
      </c>
      <c r="B9" t="s">
        <v>545</v>
      </c>
      <c r="C9" t="s">
        <v>393</v>
      </c>
      <c r="D9" s="24">
        <f>IF(Ionic_Chloride_Mode&lt;230,1,0)</f>
        <v>1</v>
      </c>
      <c r="E9" t="str">
        <f t="shared" si="0"/>
        <v>PASS</v>
      </c>
      <c r="F9" t="s">
        <v>546</v>
      </c>
    </row>
    <row r="10" spans="1:6" x14ac:dyDescent="0.2">
      <c r="A10" t="s">
        <v>395</v>
      </c>
      <c r="B10" t="s">
        <v>547</v>
      </c>
      <c r="C10" t="s">
        <v>393</v>
      </c>
      <c r="D10" s="24">
        <f>IF(Ionic_SAR_Mode&lt;4,1,0)</f>
        <v>1</v>
      </c>
      <c r="E10" t="str">
        <f t="shared" si="0"/>
        <v>PASS</v>
      </c>
      <c r="F10" t="s">
        <v>548</v>
      </c>
    </row>
    <row r="11" spans="1:6" x14ac:dyDescent="0.2">
      <c r="A11" t="s">
        <v>549</v>
      </c>
      <c r="B11" t="s">
        <v>550</v>
      </c>
      <c r="C11" t="s">
        <v>401</v>
      </c>
      <c r="D11" s="24">
        <f>IF(Env_DO_Typical_Jul&gt;=6.5,1,0)</f>
        <v>1</v>
      </c>
      <c r="E11" t="str">
        <f t="shared" si="0"/>
        <v>PASS</v>
      </c>
      <c r="F11" t="s">
        <v>551</v>
      </c>
    </row>
    <row r="12" spans="1:6" x14ac:dyDescent="0.2">
      <c r="A12" t="s">
        <v>552</v>
      </c>
      <c r="B12" t="s">
        <v>553</v>
      </c>
      <c r="C12" t="s">
        <v>401</v>
      </c>
      <c r="D12" s="24">
        <f>IF(7.5&gt;6.5,1,0)</f>
        <v>1</v>
      </c>
      <c r="E12" t="str">
        <f t="shared" si="0"/>
        <v>PASS</v>
      </c>
      <c r="F12" t="s">
        <v>554</v>
      </c>
    </row>
    <row r="13" spans="1:6" x14ac:dyDescent="0.2">
      <c r="A13" t="s">
        <v>555</v>
      </c>
      <c r="B13" t="s">
        <v>556</v>
      </c>
      <c r="C13" t="s">
        <v>393</v>
      </c>
      <c r="D13" s="24">
        <f>IF(7.5&lt;8.5,1,0)</f>
        <v>1</v>
      </c>
      <c r="E13" t="str">
        <f t="shared" si="0"/>
        <v>PASS</v>
      </c>
      <c r="F13" t="s">
        <v>557</v>
      </c>
    </row>
    <row r="14" spans="1:6" x14ac:dyDescent="0.2">
      <c r="A14" t="s">
        <v>398</v>
      </c>
      <c r="B14" t="s">
        <v>558</v>
      </c>
      <c r="C14" t="s">
        <v>393</v>
      </c>
      <c r="D14" s="24">
        <f>IF(Ionic_Sulfate_Mode&lt;500,1,0)</f>
        <v>1</v>
      </c>
      <c r="E14" t="str">
        <f t="shared" si="0"/>
        <v>PASS</v>
      </c>
      <c r="F14" t="s">
        <v>399</v>
      </c>
    </row>
    <row r="15" spans="1:6" x14ac:dyDescent="0.2">
      <c r="A15" t="s">
        <v>559</v>
      </c>
      <c r="B15" t="s">
        <v>560</v>
      </c>
      <c r="C15" t="s">
        <v>393</v>
      </c>
      <c r="D15" s="24">
        <f>IF(Env_Temp_Water_Jul&lt;25,1,0)</f>
        <v>1</v>
      </c>
      <c r="E15" t="str">
        <f t="shared" si="0"/>
        <v>PASS</v>
      </c>
      <c r="F15" t="s">
        <v>561</v>
      </c>
    </row>
    <row r="16" spans="1:6" x14ac:dyDescent="0.2">
      <c r="A16" t="s">
        <v>119</v>
      </c>
      <c r="B16" t="s">
        <v>562</v>
      </c>
      <c r="C16" t="s">
        <v>393</v>
      </c>
      <c r="D16" s="24">
        <f ca="1">IF(Days_to_Compliance&lt;Season_Length,1,0)</f>
        <v>1</v>
      </c>
      <c r="E16" t="str">
        <f t="shared" ca="1" si="0"/>
        <v>PASS</v>
      </c>
      <c r="F16" t="s">
        <v>563</v>
      </c>
    </row>
    <row r="17" spans="1:6" x14ac:dyDescent="0.2">
      <c r="A17" t="s">
        <v>564</v>
      </c>
      <c r="B17" t="s">
        <v>565</v>
      </c>
      <c r="C17" t="s">
        <v>393</v>
      </c>
      <c r="D17" s="24">
        <f>1</f>
        <v>1</v>
      </c>
      <c r="E17" t="str">
        <f t="shared" si="0"/>
        <v>PASS</v>
      </c>
      <c r="F17" t="s">
        <v>566</v>
      </c>
    </row>
    <row r="18" spans="1:6" x14ac:dyDescent="0.2">
      <c r="A18" t="s">
        <v>567</v>
      </c>
      <c r="B18" t="s">
        <v>568</v>
      </c>
      <c r="C18" t="s">
        <v>569</v>
      </c>
      <c r="D18" s="24">
        <f>1</f>
        <v>1</v>
      </c>
      <c r="E18" t="str">
        <f t="shared" si="0"/>
        <v>PASS</v>
      </c>
      <c r="F18" t="s">
        <v>570</v>
      </c>
    </row>
    <row r="19" spans="1:6" x14ac:dyDescent="0.2">
      <c r="A19" t="s">
        <v>571</v>
      </c>
      <c r="B19" t="s">
        <v>572</v>
      </c>
      <c r="C19" t="s">
        <v>569</v>
      </c>
      <c r="D19" s="24">
        <f>1</f>
        <v>1</v>
      </c>
      <c r="E19" t="str">
        <f t="shared" si="0"/>
        <v>PASS</v>
      </c>
      <c r="F19" t="s">
        <v>573</v>
      </c>
    </row>
    <row r="20" spans="1:6" x14ac:dyDescent="0.2">
      <c r="A20" t="s">
        <v>574</v>
      </c>
      <c r="B20" t="s">
        <v>575</v>
      </c>
      <c r="C20" t="s">
        <v>569</v>
      </c>
      <c r="D20" s="24">
        <f>1</f>
        <v>1</v>
      </c>
      <c r="E20" t="str">
        <f t="shared" si="0"/>
        <v>PASS</v>
      </c>
      <c r="F20" t="s">
        <v>576</v>
      </c>
    </row>
    <row r="23" spans="1:6" x14ac:dyDescent="0.2">
      <c r="A23" s="11" t="s">
        <v>577</v>
      </c>
    </row>
    <row r="24" spans="1:6" x14ac:dyDescent="0.2">
      <c r="A24" t="s">
        <v>578</v>
      </c>
      <c r="B24" t="e">
        <f>MIN(all gates)</f>
        <v>#NAME?</v>
      </c>
      <c r="C24" s="24" t="e">
        <f>MIN(D8:D20)</f>
        <v>#NAME?</v>
      </c>
      <c r="D24" t="e">
        <f>IF(C24=1,"ALL PASS","BLOCKED")</f>
        <v>#NAME?</v>
      </c>
    </row>
    <row r="25" spans="1:6" x14ac:dyDescent="0.2">
      <c r="A25" t="s">
        <v>579</v>
      </c>
      <c r="C25">
        <f ca="1">COUNTIF(D8:D20,1)</f>
        <v>12</v>
      </c>
      <c r="D25" t="s">
        <v>580</v>
      </c>
    </row>
    <row r="26" spans="1:6" x14ac:dyDescent="0.2">
      <c r="A26" t="s">
        <v>581</v>
      </c>
      <c r="C26">
        <f ca="1">COUNTIF(D8:D20,0)</f>
        <v>0</v>
      </c>
    </row>
  </sheetData>
  <mergeCells count="2">
    <mergeCell ref="A3:F3"/>
    <mergeCell ref="A4:F4"/>
  </mergeCell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72C4"/>
  </sheetPr>
  <dimension ref="A1:E24"/>
  <sheetViews>
    <sheetView workbookViewId="0"/>
  </sheetViews>
  <sheetFormatPr baseColWidth="10" defaultColWidth="8.83203125" defaultRowHeight="15" x14ac:dyDescent="0.2"/>
  <cols>
    <col min="1" max="1" width="28" customWidth="1"/>
    <col min="2" max="5" width="14" customWidth="1"/>
  </cols>
  <sheetData>
    <row r="1" spans="1:5" ht="21" x14ac:dyDescent="0.25">
      <c r="A1" s="5" t="s">
        <v>582</v>
      </c>
    </row>
    <row r="3" spans="1:5" x14ac:dyDescent="0.2">
      <c r="A3" s="36" t="s">
        <v>583</v>
      </c>
      <c r="B3" s="34"/>
      <c r="C3" s="34"/>
      <c r="D3" s="34"/>
      <c r="E3" s="35"/>
    </row>
    <row r="4" spans="1:5" ht="234" customHeight="1" x14ac:dyDescent="0.2">
      <c r="A4" s="33" t="s">
        <v>584</v>
      </c>
      <c r="B4" s="34"/>
      <c r="C4" s="34"/>
      <c r="D4" s="34"/>
      <c r="E4" s="35"/>
    </row>
    <row r="6" spans="1:5" x14ac:dyDescent="0.2">
      <c r="A6" s="6" t="s">
        <v>582</v>
      </c>
    </row>
    <row r="7" spans="1:5" ht="31.25" customHeight="1" x14ac:dyDescent="0.2">
      <c r="A7" s="7" t="s">
        <v>46</v>
      </c>
      <c r="B7" s="31" t="s">
        <v>585</v>
      </c>
      <c r="C7" s="32"/>
      <c r="D7" s="32"/>
      <c r="E7" s="32"/>
    </row>
    <row r="8" spans="1:5" ht="31.25" customHeight="1" x14ac:dyDescent="0.2">
      <c r="A8" s="7" t="s">
        <v>48</v>
      </c>
      <c r="B8" s="31" t="s">
        <v>586</v>
      </c>
      <c r="C8" s="32"/>
      <c r="D8" s="32"/>
      <c r="E8" s="32"/>
    </row>
    <row r="9" spans="1:5" ht="109.25" customHeight="1" x14ac:dyDescent="0.2">
      <c r="A9" s="7" t="s">
        <v>50</v>
      </c>
      <c r="B9" s="31" t="s">
        <v>587</v>
      </c>
      <c r="C9" s="32"/>
      <c r="D9" s="32"/>
      <c r="E9" s="32"/>
    </row>
    <row r="10" spans="1:5" ht="31.25" customHeight="1" x14ac:dyDescent="0.2">
      <c r="A10" s="7" t="s">
        <v>52</v>
      </c>
      <c r="B10" s="31" t="s">
        <v>588</v>
      </c>
      <c r="C10" s="32"/>
      <c r="D10" s="32"/>
      <c r="E10" s="32"/>
    </row>
    <row r="11" spans="1:5" ht="31.25" customHeight="1" x14ac:dyDescent="0.2">
      <c r="A11" s="7" t="s">
        <v>54</v>
      </c>
      <c r="B11" s="31" t="s">
        <v>589</v>
      </c>
      <c r="C11" s="32"/>
      <c r="D11" s="32"/>
      <c r="E11" s="32"/>
    </row>
    <row r="12" spans="1:5" x14ac:dyDescent="0.2">
      <c r="A12" s="8" t="s">
        <v>93</v>
      </c>
      <c r="B12" s="8" t="s">
        <v>414</v>
      </c>
      <c r="C12" s="8" t="s">
        <v>590</v>
      </c>
      <c r="D12" s="8" t="s">
        <v>591</v>
      </c>
      <c r="E12" s="8" t="s">
        <v>592</v>
      </c>
    </row>
    <row r="13" spans="1:5" x14ac:dyDescent="0.2">
      <c r="A13" t="s">
        <v>593</v>
      </c>
      <c r="B13">
        <f>INDEX(Scenario_BaseValues,1)</f>
        <v>104000</v>
      </c>
      <c r="C13" t="str">
        <f>INDEX(Gate_S1,MATCH(Testing_Option,TestOpt_Option,0))</f>
        <v>ENABLED</v>
      </c>
      <c r="D13">
        <f ca="1">Stoch_SeasonExt/21</f>
        <v>1.2779500064885687</v>
      </c>
      <c r="E13">
        <f ca="1">IF(C13="ENABLED",B13*D13,0)</f>
        <v>132906.80067481115</v>
      </c>
    </row>
    <row r="14" spans="1:5" x14ac:dyDescent="0.2">
      <c r="A14" t="s">
        <v>594</v>
      </c>
      <c r="B14">
        <f>INDEX(Scenario_BaseValues,2)</f>
        <v>67500</v>
      </c>
      <c r="C14" t="str">
        <f>INDEX(Gate_S2,MATCH(Testing_Option,TestOpt_Option,0))</f>
        <v>ENABLED</v>
      </c>
      <c r="D14">
        <f ca="1">Stoch_Interventions/3</f>
        <v>1.2515750105305663</v>
      </c>
      <c r="E14">
        <f ca="1">IF(C14="ENABLED",B14*D14,0)</f>
        <v>84481.313210813227</v>
      </c>
    </row>
    <row r="15" spans="1:5" x14ac:dyDescent="0.2">
      <c r="A15" t="s">
        <v>595</v>
      </c>
      <c r="B15">
        <f>INDEX(Scenario_BaseValues,3)</f>
        <v>78000</v>
      </c>
      <c r="C15" t="str">
        <f>INDEX(Gate_S3,MATCH(Testing_Option,TestOpt_Option,0))</f>
        <v>ENABLED</v>
      </c>
      <c r="D15">
        <f ca="1">Stoch_Efficiency/0.15</f>
        <v>2.3591500926477522</v>
      </c>
      <c r="E15">
        <f ca="1">IF(C15="ENABLED",B15*D15,0)</f>
        <v>184013.70722652468</v>
      </c>
    </row>
    <row r="16" spans="1:5" x14ac:dyDescent="0.2">
      <c r="A16" t="s">
        <v>596</v>
      </c>
      <c r="B16">
        <f>INDEX(Scenario_BaseValues,4)</f>
        <v>36000</v>
      </c>
      <c r="C16" t="str">
        <f>INDEX(Gate_S4,MATCH(Testing_Option,TestOpt_Option,0))</f>
        <v>ENABLED</v>
      </c>
      <c r="D16">
        <f ca="1">1+Stoch_Efficiency</f>
        <v>1.3538725138971628</v>
      </c>
      <c r="E16">
        <f ca="1">IF(C16="ENABLED",B16*D16,0)</f>
        <v>48739.410500297861</v>
      </c>
    </row>
    <row r="18" spans="1:5" x14ac:dyDescent="0.2">
      <c r="A18" s="11" t="s">
        <v>597</v>
      </c>
      <c r="E18" s="15">
        <f ca="1">SUM(E13:E16)</f>
        <v>450141.23161244689</v>
      </c>
    </row>
    <row r="20" spans="1:5" x14ac:dyDescent="0.2">
      <c r="A20" s="11" t="s">
        <v>598</v>
      </c>
      <c r="B20" s="24" t="e">
        <f>ComplianceGate</f>
        <v>#NAME?</v>
      </c>
      <c r="C20" t="e">
        <f>IF(B20=1,"PASS","FAIL")</f>
        <v>#NAME?</v>
      </c>
    </row>
    <row r="21" spans="1:5" x14ac:dyDescent="0.2">
      <c r="A21" s="11" t="s">
        <v>599</v>
      </c>
      <c r="E21" s="15" t="e">
        <f ca="1">Gross_Value*ComplianceGate</f>
        <v>#NAME?</v>
      </c>
    </row>
    <row r="23" spans="1:5" x14ac:dyDescent="0.2">
      <c r="A23" s="26" t="s">
        <v>600</v>
      </c>
    </row>
    <row r="24" spans="1:5" x14ac:dyDescent="0.2">
      <c r="A24" s="26" t="s">
        <v>601</v>
      </c>
    </row>
  </sheetData>
  <mergeCells count="7">
    <mergeCell ref="A3:E3"/>
    <mergeCell ref="B9:E9"/>
    <mergeCell ref="A4:E4"/>
    <mergeCell ref="B8:E8"/>
    <mergeCell ref="B7:E7"/>
    <mergeCell ref="B11:E11"/>
    <mergeCell ref="B10:E10"/>
  </mergeCells>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4472C4"/>
  </sheetPr>
  <dimension ref="A1:C19"/>
  <sheetViews>
    <sheetView workbookViewId="0"/>
  </sheetViews>
  <sheetFormatPr baseColWidth="10" defaultColWidth="8.83203125" defaultRowHeight="15" x14ac:dyDescent="0.2"/>
  <cols>
    <col min="1" max="1" width="22" customWidth="1"/>
    <col min="2" max="2" width="25" customWidth="1"/>
    <col min="3" max="3" width="18" customWidth="1"/>
  </cols>
  <sheetData>
    <row r="1" spans="1:3" ht="21" x14ac:dyDescent="0.25">
      <c r="A1" s="5" t="s">
        <v>602</v>
      </c>
    </row>
    <row r="3" spans="1:3" x14ac:dyDescent="0.2">
      <c r="A3" s="36" t="s">
        <v>603</v>
      </c>
      <c r="B3" s="34"/>
      <c r="C3" s="35"/>
    </row>
    <row r="4" spans="1:3" ht="312" customHeight="1" x14ac:dyDescent="0.2">
      <c r="A4" s="33" t="s">
        <v>604</v>
      </c>
      <c r="B4" s="34"/>
      <c r="C4" s="35"/>
    </row>
    <row r="6" spans="1:3" x14ac:dyDescent="0.2">
      <c r="A6" s="6" t="s">
        <v>605</v>
      </c>
    </row>
    <row r="7" spans="1:3" ht="31.25" customHeight="1" x14ac:dyDescent="0.2">
      <c r="A7" s="7" t="s">
        <v>46</v>
      </c>
      <c r="B7" s="31" t="s">
        <v>606</v>
      </c>
      <c r="C7" s="32"/>
    </row>
    <row r="8" spans="1:3" ht="31.25" customHeight="1" x14ac:dyDescent="0.2">
      <c r="A8" s="7" t="s">
        <v>48</v>
      </c>
      <c r="B8" s="31" t="s">
        <v>607</v>
      </c>
      <c r="C8" s="32"/>
    </row>
    <row r="9" spans="1:3" ht="62.5" customHeight="1" x14ac:dyDescent="0.2">
      <c r="A9" s="7" t="s">
        <v>50</v>
      </c>
      <c r="B9" s="31" t="s">
        <v>608</v>
      </c>
      <c r="C9" s="32"/>
    </row>
    <row r="10" spans="1:3" ht="15.5" customHeight="1" x14ac:dyDescent="0.2">
      <c r="A10" s="7" t="s">
        <v>52</v>
      </c>
      <c r="B10" s="31" t="s">
        <v>609</v>
      </c>
      <c r="C10" s="32"/>
    </row>
    <row r="11" spans="1:3" ht="15.5" customHeight="1" x14ac:dyDescent="0.2">
      <c r="A11" s="7" t="s">
        <v>54</v>
      </c>
      <c r="B11" s="31" t="s">
        <v>610</v>
      </c>
      <c r="C11" s="32"/>
    </row>
    <row r="12" spans="1:3" x14ac:dyDescent="0.2">
      <c r="A12" s="8" t="s">
        <v>611</v>
      </c>
      <c r="B12" s="8" t="s">
        <v>492</v>
      </c>
      <c r="C12" s="8" t="s">
        <v>57</v>
      </c>
    </row>
    <row r="13" spans="1:3" x14ac:dyDescent="0.2">
      <c r="A13" t="s">
        <v>612</v>
      </c>
      <c r="B13" t="s">
        <v>60</v>
      </c>
      <c r="C13" t="str">
        <f>Testing_Option</f>
        <v>Daily_Biosensor</v>
      </c>
    </row>
    <row r="14" spans="1:3" x14ac:dyDescent="0.2">
      <c r="A14" t="s">
        <v>613</v>
      </c>
      <c r="B14" t="s">
        <v>614</v>
      </c>
      <c r="C14">
        <f>INDEX(TestOpt_Interval,MATCH(Testing_Option,TestOpt_Option,0))</f>
        <v>1</v>
      </c>
    </row>
    <row r="15" spans="1:3" x14ac:dyDescent="0.2">
      <c r="A15" t="s">
        <v>615</v>
      </c>
      <c r="B15" t="s">
        <v>614</v>
      </c>
      <c r="C15">
        <f>INDEX(TestOpt_Points,MATCH(Testing_Option,TestOpt_Option,0))</f>
        <v>10</v>
      </c>
    </row>
    <row r="16" spans="1:3" x14ac:dyDescent="0.2">
      <c r="A16" t="s">
        <v>310</v>
      </c>
      <c r="B16" t="s">
        <v>614</v>
      </c>
      <c r="C16" s="15">
        <f>INDEX(TestOpt_Cost,MATCH(Testing_Option,TestOpt_Option,0))</f>
        <v>10</v>
      </c>
    </row>
    <row r="17" spans="1:3" x14ac:dyDescent="0.2">
      <c r="A17" t="s">
        <v>616</v>
      </c>
      <c r="B17" t="s">
        <v>617</v>
      </c>
      <c r="C17">
        <f>Season_Length/C14</f>
        <v>100</v>
      </c>
    </row>
    <row r="18" spans="1:3" x14ac:dyDescent="0.2">
      <c r="A18" t="s">
        <v>618</v>
      </c>
      <c r="B18" t="s">
        <v>619</v>
      </c>
      <c r="C18">
        <f>C17*C15</f>
        <v>1000</v>
      </c>
    </row>
    <row r="19" spans="1:3" x14ac:dyDescent="0.2">
      <c r="A19" t="s">
        <v>620</v>
      </c>
      <c r="B19" t="s">
        <v>621</v>
      </c>
      <c r="C19" s="27">
        <f>C18*C16</f>
        <v>10000</v>
      </c>
    </row>
  </sheetData>
  <mergeCells count="7">
    <mergeCell ref="B7:C7"/>
    <mergeCell ref="B11:C11"/>
    <mergeCell ref="B10:C10"/>
    <mergeCell ref="A3:C3"/>
    <mergeCell ref="B9:C9"/>
    <mergeCell ref="A4:C4"/>
    <mergeCell ref="B8:C8"/>
  </mergeCell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472C4"/>
  </sheetPr>
  <dimension ref="A1:I1028"/>
  <sheetViews>
    <sheetView tabSelected="1" topLeftCell="A5" workbookViewId="0">
      <selection activeCell="L20" sqref="L20"/>
    </sheetView>
  </sheetViews>
  <sheetFormatPr baseColWidth="10" defaultColWidth="8.83203125" defaultRowHeight="15" x14ac:dyDescent="0.2"/>
  <cols>
    <col min="1" max="1" width="26" customWidth="1"/>
    <col min="2" max="8" width="14" customWidth="1"/>
    <col min="9" max="9" width="18" customWidth="1"/>
    <col min="11" max="11" width="8" customWidth="1"/>
  </cols>
  <sheetData>
    <row r="1" spans="1:9" ht="21" x14ac:dyDescent="0.25">
      <c r="A1" s="5" t="s">
        <v>622</v>
      </c>
    </row>
    <row r="3" spans="1:9" x14ac:dyDescent="0.2">
      <c r="A3" s="36" t="s">
        <v>623</v>
      </c>
      <c r="B3" s="34"/>
      <c r="C3" s="34"/>
      <c r="D3" s="34"/>
      <c r="E3" s="35"/>
    </row>
    <row r="4" spans="1:9" ht="374.5" customHeight="1" x14ac:dyDescent="0.2">
      <c r="A4" s="33" t="s">
        <v>624</v>
      </c>
      <c r="B4" s="34"/>
      <c r="C4" s="34"/>
      <c r="D4" s="34"/>
      <c r="E4" s="35"/>
    </row>
    <row r="7" spans="1:9" x14ac:dyDescent="0.2">
      <c r="A7" s="12" t="s">
        <v>625</v>
      </c>
    </row>
    <row r="8" spans="1:9" x14ac:dyDescent="0.2">
      <c r="A8" s="12" t="s">
        <v>626</v>
      </c>
    </row>
    <row r="9" spans="1:9" x14ac:dyDescent="0.2">
      <c r="A9" s="11" t="s">
        <v>627</v>
      </c>
      <c r="B9" s="11" t="s">
        <v>113</v>
      </c>
      <c r="C9" s="11" t="s">
        <v>416</v>
      </c>
      <c r="D9" s="11" t="s">
        <v>419</v>
      </c>
      <c r="E9" s="11" t="s">
        <v>422</v>
      </c>
      <c r="F9" s="11" t="s">
        <v>425</v>
      </c>
      <c r="G9" s="11" t="s">
        <v>628</v>
      </c>
      <c r="H9" s="11" t="s">
        <v>629</v>
      </c>
      <c r="I9" s="11" t="s">
        <v>209</v>
      </c>
    </row>
    <row r="10" spans="1:9" x14ac:dyDescent="0.2">
      <c r="B10" s="15">
        <f ca="1">NPV_Total</f>
        <v>1598937.7893776863</v>
      </c>
      <c r="C10" s="15">
        <f ca="1">S1_Value</f>
        <v>132906.80067481115</v>
      </c>
      <c r="D10" s="15">
        <f ca="1">S2_Value</f>
        <v>84481.313210813227</v>
      </c>
      <c r="E10" s="15">
        <f ca="1">S3_Value</f>
        <v>184013.70722652468</v>
      </c>
      <c r="F10" s="15">
        <f ca="1">S4_Value</f>
        <v>48739.410500297861</v>
      </c>
      <c r="G10" s="15">
        <f>Testing_Cost</f>
        <v>10000</v>
      </c>
      <c r="H10" s="15">
        <f ca="1">Gross_Value-Testing_Cost</f>
        <v>440141.23161244689</v>
      </c>
      <c r="I10" s="23">
        <f ca="1">Days_to_Compliance</f>
        <v>38.651213093822712</v>
      </c>
    </row>
    <row r="11" spans="1:9" x14ac:dyDescent="0.2">
      <c r="A11">
        <v>1</v>
      </c>
      <c r="B11">
        <f t="dataTable" ref="B11:I1010" dt2D="0" dtr="0" r1="Q33" ca="1"/>
        <v>814869.63667651219</v>
      </c>
      <c r="C11">
        <v>107807.5711941866</v>
      </c>
      <c r="D11">
        <v>53616.852420126255</v>
      </c>
      <c r="E11">
        <v>35383.063316964566</v>
      </c>
      <c r="F11">
        <v>38449.596691174469</v>
      </c>
      <c r="G11">
        <v>10000</v>
      </c>
      <c r="H11">
        <v>225257.0836224519</v>
      </c>
      <c r="I11">
        <v>37.979042572935882</v>
      </c>
    </row>
    <row r="12" spans="1:9" x14ac:dyDescent="0.2">
      <c r="A12">
        <v>2</v>
      </c>
      <c r="B12">
        <v>1526897.1082685655</v>
      </c>
      <c r="C12">
        <v>107278.31628221092</v>
      </c>
      <c r="D12">
        <v>136432.50807223152</v>
      </c>
      <c r="E12">
        <v>140930.02114606291</v>
      </c>
      <c r="F12">
        <v>45756.693771650513</v>
      </c>
      <c r="G12">
        <v>10000</v>
      </c>
      <c r="H12">
        <v>420397.53927215579</v>
      </c>
      <c r="I12">
        <v>34.704246448673061</v>
      </c>
    </row>
    <row r="13" spans="1:9" x14ac:dyDescent="0.2">
      <c r="A13">
        <v>3</v>
      </c>
      <c r="B13">
        <v>1439922.4621381222</v>
      </c>
      <c r="C13">
        <v>151651.9149191794</v>
      </c>
      <c r="D13">
        <v>55251.266089758043</v>
      </c>
      <c r="E13">
        <v>153061.26787028206</v>
      </c>
      <c r="F13">
        <v>46596.549314096446</v>
      </c>
      <c r="G13">
        <v>10000</v>
      </c>
      <c r="H13">
        <v>396560.99819331593</v>
      </c>
      <c r="I13">
        <v>33.49529986635369</v>
      </c>
    </row>
    <row r="14" spans="1:9" x14ac:dyDescent="0.2">
      <c r="A14">
        <v>4</v>
      </c>
      <c r="B14">
        <v>1186005.2146383722</v>
      </c>
      <c r="C14">
        <v>104051.67464433497</v>
      </c>
      <c r="D14">
        <v>152266.3321069378</v>
      </c>
      <c r="E14">
        <v>41762.400514546229</v>
      </c>
      <c r="F14">
        <v>38891.243112545504</v>
      </c>
      <c r="G14">
        <v>10000</v>
      </c>
      <c r="H14">
        <v>326971.65037836455</v>
      </c>
      <c r="I14">
        <v>39.752704039951084</v>
      </c>
    </row>
    <row r="15" spans="1:9" x14ac:dyDescent="0.2">
      <c r="A15">
        <v>5</v>
      </c>
      <c r="B15">
        <v>1289093.9169931989</v>
      </c>
      <c r="C15">
        <v>129349.69119567296</v>
      </c>
      <c r="D15">
        <v>63437.842148848569</v>
      </c>
      <c r="E15">
        <v>127602.88071578101</v>
      </c>
      <c r="F15">
        <v>44834.045588015608</v>
      </c>
      <c r="G15">
        <v>10000</v>
      </c>
      <c r="H15">
        <v>355224.45964831812</v>
      </c>
      <c r="I15">
        <v>36.588179709244841</v>
      </c>
    </row>
    <row r="16" spans="1:9" x14ac:dyDescent="0.2">
      <c r="A16">
        <v>6</v>
      </c>
      <c r="B16">
        <v>1072262.5384313802</v>
      </c>
      <c r="C16">
        <v>89412.338413283636</v>
      </c>
      <c r="D16">
        <v>73207.746584989698</v>
      </c>
      <c r="E16">
        <v>100239.25433186183</v>
      </c>
      <c r="F16">
        <v>42939.640684513513</v>
      </c>
      <c r="G16">
        <v>10000</v>
      </c>
      <c r="H16">
        <v>295798.98001464864</v>
      </c>
      <c r="I16">
        <v>36.728917827481304</v>
      </c>
    </row>
    <row r="17" spans="1:9" x14ac:dyDescent="0.2">
      <c r="A17">
        <v>7</v>
      </c>
      <c r="B17">
        <v>1013792.6083764279</v>
      </c>
      <c r="C17">
        <v>109291.01555091501</v>
      </c>
      <c r="D17">
        <v>56478.419220457661</v>
      </c>
      <c r="E17">
        <v>82306.92337819867</v>
      </c>
      <c r="F17">
        <v>41698.171618490684</v>
      </c>
      <c r="G17">
        <v>10000</v>
      </c>
      <c r="H17">
        <v>279774.52976806206</v>
      </c>
      <c r="I17">
        <v>29.29630063190568</v>
      </c>
    </row>
    <row r="18" spans="1:9" x14ac:dyDescent="0.2">
      <c r="A18">
        <v>8</v>
      </c>
      <c r="B18">
        <v>1326448.7240189624</v>
      </c>
      <c r="C18">
        <v>128328.78327682964</v>
      </c>
      <c r="D18">
        <v>68028.215989429198</v>
      </c>
      <c r="E18">
        <v>133839.24096401097</v>
      </c>
      <c r="F18">
        <v>45265.793605200757</v>
      </c>
      <c r="G18">
        <v>10000</v>
      </c>
      <c r="H18">
        <v>365462.03383547062</v>
      </c>
      <c r="I18">
        <v>48.714325384700615</v>
      </c>
    </row>
    <row r="19" spans="1:9" x14ac:dyDescent="0.2">
      <c r="A19">
        <v>9</v>
      </c>
      <c r="B19">
        <v>1226054.4618611834</v>
      </c>
      <c r="C19">
        <v>100162.53383276837</v>
      </c>
      <c r="D19">
        <v>117810.72140943758</v>
      </c>
      <c r="E19">
        <v>87889.741540260802</v>
      </c>
      <c r="F19">
        <v>42084.674414325746</v>
      </c>
      <c r="G19">
        <v>10000</v>
      </c>
      <c r="H19">
        <v>337947.67119679251</v>
      </c>
      <c r="I19">
        <v>33.624960069369337</v>
      </c>
    </row>
    <row r="20" spans="1:9" x14ac:dyDescent="0.2">
      <c r="A20">
        <v>10</v>
      </c>
      <c r="B20">
        <v>891893.55020662991</v>
      </c>
      <c r="C20">
        <v>108682.5207634589</v>
      </c>
      <c r="D20">
        <v>72903.356883341083</v>
      </c>
      <c r="E20">
        <v>36269.643143231355</v>
      </c>
      <c r="F20">
        <v>38510.975294531403</v>
      </c>
      <c r="G20">
        <v>10000</v>
      </c>
      <c r="H20">
        <v>246366.49608456276</v>
      </c>
      <c r="I20">
        <v>50.426626107717347</v>
      </c>
    </row>
    <row r="21" spans="1:9" x14ac:dyDescent="0.2">
      <c r="A21">
        <v>11</v>
      </c>
      <c r="B21">
        <v>896081.12976904132</v>
      </c>
      <c r="C21">
        <v>127457.8022509529</v>
      </c>
      <c r="D21">
        <v>61599.565080064305</v>
      </c>
      <c r="E21">
        <v>30355.271023790665</v>
      </c>
      <c r="F21">
        <v>38101.518763185501</v>
      </c>
      <c r="G21">
        <v>10000</v>
      </c>
      <c r="H21">
        <v>247514.1571179934</v>
      </c>
      <c r="I21">
        <v>27.561161477275746</v>
      </c>
    </row>
    <row r="22" spans="1:9" x14ac:dyDescent="0.2">
      <c r="A22">
        <v>12</v>
      </c>
      <c r="B22">
        <v>1427650.2668979098</v>
      </c>
      <c r="C22">
        <v>137404.68121351313</v>
      </c>
      <c r="D22">
        <v>101272.45468025171</v>
      </c>
      <c r="E22">
        <v>120199.03479703591</v>
      </c>
      <c r="F22">
        <v>44321.471639794792</v>
      </c>
      <c r="G22">
        <v>10000</v>
      </c>
      <c r="H22">
        <v>393197.64233059552</v>
      </c>
      <c r="I22">
        <v>31.934986168529431</v>
      </c>
    </row>
    <row r="23" spans="1:9" x14ac:dyDescent="0.2">
      <c r="A23">
        <v>13</v>
      </c>
      <c r="B23">
        <v>1113746.3366656571</v>
      </c>
      <c r="C23">
        <v>152056.42163534276</v>
      </c>
      <c r="D23">
        <v>90087.909396359784</v>
      </c>
      <c r="E23">
        <v>36497.104666892381</v>
      </c>
      <c r="F23">
        <v>38526.722630784861</v>
      </c>
      <c r="G23">
        <v>10000</v>
      </c>
      <c r="H23">
        <v>307168.15832937974</v>
      </c>
      <c r="I23">
        <v>39.897067925619091</v>
      </c>
    </row>
    <row r="24" spans="1:9" x14ac:dyDescent="0.2">
      <c r="A24">
        <v>14</v>
      </c>
      <c r="B24">
        <v>1766442.9898032951</v>
      </c>
      <c r="C24">
        <v>127397.73384049704</v>
      </c>
      <c r="D24">
        <v>152153.88931849651</v>
      </c>
      <c r="E24">
        <v>168809.77243149371</v>
      </c>
      <c r="F24">
        <v>47686.830399103412</v>
      </c>
      <c r="G24">
        <v>10000</v>
      </c>
      <c r="H24">
        <v>486048.22598959069</v>
      </c>
      <c r="I24">
        <v>38.047255939953764</v>
      </c>
    </row>
    <row r="25" spans="1:9" x14ac:dyDescent="0.2">
      <c r="A25">
        <v>15</v>
      </c>
      <c r="B25">
        <v>1559103.0127468212</v>
      </c>
      <c r="C25">
        <v>129060.57164258379</v>
      </c>
      <c r="D25">
        <v>76891.051023089283</v>
      </c>
      <c r="E25">
        <v>184499.33567232202</v>
      </c>
      <c r="F25">
        <v>48773.030931160756</v>
      </c>
      <c r="G25">
        <v>10000</v>
      </c>
      <c r="H25">
        <v>429223.98926915589</v>
      </c>
      <c r="I25">
        <v>38.092292819623651</v>
      </c>
    </row>
    <row r="26" spans="1:9" x14ac:dyDescent="0.2">
      <c r="A26">
        <v>16</v>
      </c>
      <c r="B26">
        <v>1391626.6209095472</v>
      </c>
      <c r="C26">
        <v>139462.69397193001</v>
      </c>
      <c r="D26">
        <v>125530.69423458546</v>
      </c>
      <c r="E26">
        <v>86353.203362196247</v>
      </c>
      <c r="F26">
        <v>41978.298694305893</v>
      </c>
      <c r="G26">
        <v>10000</v>
      </c>
      <c r="H26">
        <v>383324.89026301756</v>
      </c>
      <c r="I26">
        <v>36.896974988156728</v>
      </c>
    </row>
    <row r="27" spans="1:9" x14ac:dyDescent="0.2">
      <c r="A27">
        <v>17</v>
      </c>
      <c r="B27">
        <v>1337544.9550451655</v>
      </c>
      <c r="C27">
        <v>110555.04055985554</v>
      </c>
      <c r="D27">
        <v>68178.808589767825</v>
      </c>
      <c r="E27">
        <v>153165.4876236236</v>
      </c>
      <c r="F27">
        <v>46603.764527789332</v>
      </c>
      <c r="G27">
        <v>10000</v>
      </c>
      <c r="H27">
        <v>368503.10130103631</v>
      </c>
      <c r="I27">
        <v>39.638749920880059</v>
      </c>
    </row>
    <row r="28" spans="1:9" x14ac:dyDescent="0.2">
      <c r="A28">
        <v>18</v>
      </c>
      <c r="B28">
        <v>947656.13759593084</v>
      </c>
      <c r="C28">
        <v>99254.598371915505</v>
      </c>
      <c r="D28">
        <v>30335.060165049672</v>
      </c>
      <c r="E28">
        <v>99192.155823084162</v>
      </c>
      <c r="F28">
        <v>42867.149249290444</v>
      </c>
      <c r="G28">
        <v>10000</v>
      </c>
      <c r="H28">
        <v>261648.96360933979</v>
      </c>
      <c r="I28">
        <v>28.170041701862598</v>
      </c>
    </row>
    <row r="29" spans="1:9" x14ac:dyDescent="0.2">
      <c r="A29">
        <v>19</v>
      </c>
      <c r="B29">
        <v>1761474.43272183</v>
      </c>
      <c r="C29">
        <v>123466.14957866912</v>
      </c>
      <c r="D29">
        <v>171509.24295916344</v>
      </c>
      <c r="E29">
        <v>153111.13373285308</v>
      </c>
      <c r="F29">
        <v>46600.001566120598</v>
      </c>
      <c r="G29">
        <v>10000</v>
      </c>
      <c r="H29">
        <v>484686.5278368062</v>
      </c>
      <c r="I29">
        <v>29.903106359279427</v>
      </c>
    </row>
    <row r="30" spans="1:9" x14ac:dyDescent="0.2">
      <c r="A30">
        <v>20</v>
      </c>
      <c r="B30">
        <v>1344430.3361934733</v>
      </c>
      <c r="C30">
        <v>92674.065882413532</v>
      </c>
      <c r="D30">
        <v>102346.25701630667</v>
      </c>
      <c r="E30">
        <v>139698.3809277472</v>
      </c>
      <c r="F30">
        <v>45671.426371920963</v>
      </c>
      <c r="G30">
        <v>10000</v>
      </c>
      <c r="H30">
        <v>370390.13019838836</v>
      </c>
      <c r="I30">
        <v>27.994777625286339</v>
      </c>
    </row>
    <row r="31" spans="1:9" x14ac:dyDescent="0.2">
      <c r="A31">
        <v>21</v>
      </c>
      <c r="B31">
        <v>878931.58603651228</v>
      </c>
      <c r="C31">
        <v>85805.728832017136</v>
      </c>
      <c r="D31">
        <v>58981.710382963072</v>
      </c>
      <c r="E31">
        <v>67363.064053937225</v>
      </c>
      <c r="F31">
        <v>40663.596742195652</v>
      </c>
      <c r="G31">
        <v>10000</v>
      </c>
      <c r="H31">
        <v>242814.1000111131</v>
      </c>
      <c r="I31">
        <v>45.222732534755181</v>
      </c>
    </row>
    <row r="32" spans="1:9" x14ac:dyDescent="0.2">
      <c r="A32">
        <v>22</v>
      </c>
      <c r="B32">
        <v>1365832.3550235294</v>
      </c>
      <c r="C32">
        <v>117695.75828734128</v>
      </c>
      <c r="D32">
        <v>83969.335262280612</v>
      </c>
      <c r="E32">
        <v>138969.57002786364</v>
      </c>
      <c r="F32">
        <v>45620.970232698251</v>
      </c>
      <c r="G32">
        <v>10000</v>
      </c>
      <c r="H32">
        <v>376255.63381018373</v>
      </c>
      <c r="I32">
        <v>31.287807579706225</v>
      </c>
    </row>
    <row r="33" spans="1:9" x14ac:dyDescent="0.2">
      <c r="A33">
        <v>23</v>
      </c>
      <c r="B33">
        <v>1220234.5702731714</v>
      </c>
      <c r="C33">
        <v>101628.09332341068</v>
      </c>
      <c r="D33">
        <v>155472.215766029</v>
      </c>
      <c r="E33">
        <v>49804.351047132754</v>
      </c>
      <c r="F33">
        <v>39447.99353403227</v>
      </c>
      <c r="G33">
        <v>10000</v>
      </c>
      <c r="H33">
        <v>336352.65367060469</v>
      </c>
      <c r="I33">
        <v>37.00234812320501</v>
      </c>
    </row>
    <row r="34" spans="1:9" x14ac:dyDescent="0.2">
      <c r="A34">
        <v>24</v>
      </c>
      <c r="B34">
        <v>1342699.6002856723</v>
      </c>
      <c r="C34">
        <v>82308.447995048409</v>
      </c>
      <c r="D34">
        <v>55309.388694506801</v>
      </c>
      <c r="E34">
        <v>192940.54061901994</v>
      </c>
      <c r="F34">
        <v>49357.422042855229</v>
      </c>
      <c r="G34">
        <v>10000</v>
      </c>
      <c r="H34">
        <v>369915.79935143038</v>
      </c>
      <c r="I34">
        <v>51.623366284460317</v>
      </c>
    </row>
    <row r="35" spans="1:9" x14ac:dyDescent="0.2">
      <c r="A35">
        <v>25</v>
      </c>
      <c r="B35">
        <v>1136882.3696451387</v>
      </c>
      <c r="C35">
        <v>128449.8066736343</v>
      </c>
      <c r="D35">
        <v>108346.6140725343</v>
      </c>
      <c r="E35">
        <v>47428.929232468763</v>
      </c>
      <c r="F35">
        <v>39283.54125455553</v>
      </c>
      <c r="G35">
        <v>10000</v>
      </c>
      <c r="H35">
        <v>313508.89123319287</v>
      </c>
      <c r="I35">
        <v>43.265386972600837</v>
      </c>
    </row>
    <row r="36" spans="1:9" x14ac:dyDescent="0.2">
      <c r="A36">
        <v>26</v>
      </c>
      <c r="B36">
        <v>1026241.8624741433</v>
      </c>
      <c r="C36">
        <v>108230.86692468091</v>
      </c>
      <c r="D36">
        <v>68066.541000845245</v>
      </c>
      <c r="E36">
        <v>75651.585543778681</v>
      </c>
      <c r="F36">
        <v>41237.41746072314</v>
      </c>
      <c r="G36">
        <v>10000</v>
      </c>
      <c r="H36">
        <v>283186.41093002795</v>
      </c>
      <c r="I36">
        <v>36.663653437739214</v>
      </c>
    </row>
    <row r="37" spans="1:9" x14ac:dyDescent="0.2">
      <c r="A37">
        <v>27</v>
      </c>
      <c r="B37">
        <v>1778114.7039153627</v>
      </c>
      <c r="C37">
        <v>130856.64266732738</v>
      </c>
      <c r="D37">
        <v>136875.44345740494</v>
      </c>
      <c r="E37">
        <v>182855.68619502767</v>
      </c>
      <c r="F37">
        <v>48659.23981350191</v>
      </c>
      <c r="G37">
        <v>10000</v>
      </c>
      <c r="H37">
        <v>489247.01213326189</v>
      </c>
      <c r="I37">
        <v>28.46124674354434</v>
      </c>
    </row>
    <row r="38" spans="1:9" x14ac:dyDescent="0.2">
      <c r="A38">
        <v>28</v>
      </c>
      <c r="B38">
        <v>1091816.7532272851</v>
      </c>
      <c r="C38">
        <v>138805.43028636868</v>
      </c>
      <c r="D38">
        <v>67565.664997039858</v>
      </c>
      <c r="E38">
        <v>64333.140629714544</v>
      </c>
      <c r="F38">
        <v>40453.832812826397</v>
      </c>
      <c r="G38">
        <v>10000</v>
      </c>
      <c r="H38">
        <v>301158.06872594944</v>
      </c>
      <c r="I38">
        <v>28.514511888456024</v>
      </c>
    </row>
    <row r="39" spans="1:9" x14ac:dyDescent="0.2">
      <c r="A39">
        <v>29</v>
      </c>
      <c r="B39">
        <v>1458306.3621113389</v>
      </c>
      <c r="C39">
        <v>144299.63532846776</v>
      </c>
      <c r="D39">
        <v>86822.101665217808</v>
      </c>
      <c r="E39">
        <v>135122.94442051262</v>
      </c>
      <c r="F39">
        <v>45354.665382958563</v>
      </c>
      <c r="G39">
        <v>10000</v>
      </c>
      <c r="H39">
        <v>401599.34679715673</v>
      </c>
      <c r="I39">
        <v>41.462324716720026</v>
      </c>
    </row>
    <row r="40" spans="1:9" x14ac:dyDescent="0.2">
      <c r="A40">
        <v>30</v>
      </c>
      <c r="B40">
        <v>1049065.4767573529</v>
      </c>
      <c r="C40">
        <v>93626.755139903762</v>
      </c>
      <c r="D40">
        <v>91542.247185094398</v>
      </c>
      <c r="E40">
        <v>73204.51424062108</v>
      </c>
      <c r="F40">
        <v>41068.004832043</v>
      </c>
      <c r="G40">
        <v>10000</v>
      </c>
      <c r="H40">
        <v>289441.52139766223</v>
      </c>
      <c r="I40">
        <v>27.895422274648247</v>
      </c>
    </row>
    <row r="41" spans="1:9" x14ac:dyDescent="0.2">
      <c r="A41">
        <v>31</v>
      </c>
      <c r="B41">
        <v>1707316.3395327756</v>
      </c>
      <c r="C41">
        <v>155120.84906482985</v>
      </c>
      <c r="D41">
        <v>96019.373977782889</v>
      </c>
      <c r="E41">
        <v>180226.36035939844</v>
      </c>
      <c r="F41">
        <v>48477.209563342964</v>
      </c>
      <c r="G41">
        <v>10000</v>
      </c>
      <c r="H41">
        <v>469843.79296535417</v>
      </c>
      <c r="I41">
        <v>33.674565524046542</v>
      </c>
    </row>
    <row r="42" spans="1:9" x14ac:dyDescent="0.2">
      <c r="A42">
        <v>32</v>
      </c>
      <c r="B42">
        <v>1823534.1814139329</v>
      </c>
      <c r="C42">
        <v>130710.19687675941</v>
      </c>
      <c r="D42">
        <v>126023.53075871221</v>
      </c>
      <c r="E42">
        <v>204783.75068373847</v>
      </c>
      <c r="F42">
        <v>50177.336585797282</v>
      </c>
      <c r="G42">
        <v>10000</v>
      </c>
      <c r="H42">
        <v>501694.81490500737</v>
      </c>
      <c r="I42">
        <v>35.576077630124921</v>
      </c>
    </row>
    <row r="43" spans="1:9" x14ac:dyDescent="0.2">
      <c r="A43">
        <v>33</v>
      </c>
      <c r="B43">
        <v>1267520.9158558375</v>
      </c>
      <c r="C43">
        <v>99607.981837281288</v>
      </c>
      <c r="D43">
        <v>71867.581035207098</v>
      </c>
      <c r="E43">
        <v>142005.3907840719</v>
      </c>
      <c r="F43">
        <v>45831.142438897288</v>
      </c>
      <c r="G43">
        <v>10000</v>
      </c>
      <c r="H43">
        <v>349312.09609545756</v>
      </c>
      <c r="I43">
        <v>26.067600635082094</v>
      </c>
    </row>
    <row r="44" spans="1:9" x14ac:dyDescent="0.2">
      <c r="A44">
        <v>34</v>
      </c>
      <c r="B44">
        <v>1281207.4677358738</v>
      </c>
      <c r="C44">
        <v>105177.94722950761</v>
      </c>
      <c r="D44">
        <v>124831.99778797447</v>
      </c>
      <c r="E44">
        <v>90769.114299564128</v>
      </c>
      <c r="F44">
        <v>42284.015605354442</v>
      </c>
      <c r="G44">
        <v>10000</v>
      </c>
      <c r="H44">
        <v>353063.07492240064</v>
      </c>
      <c r="I44">
        <v>35.678829358504707</v>
      </c>
    </row>
    <row r="45" spans="1:9" x14ac:dyDescent="0.2">
      <c r="A45">
        <v>35</v>
      </c>
      <c r="B45">
        <v>980602.13486475439</v>
      </c>
      <c r="C45">
        <v>119499.51483114387</v>
      </c>
      <c r="D45">
        <v>63295.307156180897</v>
      </c>
      <c r="E45">
        <v>57876.583356730858</v>
      </c>
      <c r="F45">
        <v>40006.840386235213</v>
      </c>
      <c r="G45">
        <v>10000</v>
      </c>
      <c r="H45">
        <v>270678.24573029083</v>
      </c>
      <c r="I45">
        <v>34.384752038750079</v>
      </c>
    </row>
    <row r="46" spans="1:9" x14ac:dyDescent="0.2">
      <c r="A46">
        <v>36</v>
      </c>
      <c r="B46">
        <v>1484160.0666349113</v>
      </c>
      <c r="C46">
        <v>95806.148473542649</v>
      </c>
      <c r="D46">
        <v>131053.59999150594</v>
      </c>
      <c r="E46">
        <v>145735.74686245955</v>
      </c>
      <c r="F46">
        <v>46089.397859708733</v>
      </c>
      <c r="G46">
        <v>10000</v>
      </c>
      <c r="H46">
        <v>408684.89318721689</v>
      </c>
      <c r="I46">
        <v>48.817027782397531</v>
      </c>
    </row>
    <row r="47" spans="1:9" x14ac:dyDescent="0.2">
      <c r="A47">
        <v>37</v>
      </c>
      <c r="B47">
        <v>885693.21472787973</v>
      </c>
      <c r="C47">
        <v>102710.52274560877</v>
      </c>
      <c r="D47">
        <v>35015.053354074313</v>
      </c>
      <c r="E47">
        <v>75700.811420829748</v>
      </c>
      <c r="F47">
        <v>41240.82540605744</v>
      </c>
      <c r="G47">
        <v>10000</v>
      </c>
      <c r="H47">
        <v>244667.2129265703</v>
      </c>
      <c r="I47">
        <v>36.597868789278991</v>
      </c>
    </row>
    <row r="48" spans="1:9" x14ac:dyDescent="0.2">
      <c r="A48">
        <v>38</v>
      </c>
      <c r="B48">
        <v>1089867.9768213329</v>
      </c>
      <c r="C48">
        <v>111956.76403160869</v>
      </c>
      <c r="D48">
        <v>69914.687468545249</v>
      </c>
      <c r="E48">
        <v>86746.970058549981</v>
      </c>
      <c r="F48">
        <v>42005.559465591919</v>
      </c>
      <c r="G48">
        <v>10000</v>
      </c>
      <c r="H48">
        <v>300623.98102429579</v>
      </c>
      <c r="I48">
        <v>27.071527990885926</v>
      </c>
    </row>
    <row r="49" spans="1:9" x14ac:dyDescent="0.2">
      <c r="A49">
        <v>39</v>
      </c>
      <c r="B49">
        <v>1404685.8932757992</v>
      </c>
      <c r="C49">
        <v>93663.836997285718</v>
      </c>
      <c r="D49">
        <v>167797.87414902437</v>
      </c>
      <c r="E49">
        <v>93003.537344438751</v>
      </c>
      <c r="F49">
        <v>42438.70643153807</v>
      </c>
      <c r="G49">
        <v>10000</v>
      </c>
      <c r="H49">
        <v>386903.95492228691</v>
      </c>
      <c r="I49">
        <v>34.963530335760623</v>
      </c>
    </row>
    <row r="50" spans="1:9" x14ac:dyDescent="0.2">
      <c r="A50">
        <v>40</v>
      </c>
      <c r="B50">
        <v>1393411.6708013243</v>
      </c>
      <c r="C50">
        <v>124914.26782021929</v>
      </c>
      <c r="D50">
        <v>48556.876853439389</v>
      </c>
      <c r="E50">
        <v>172407.08666448251</v>
      </c>
      <c r="F50">
        <v>47935.875230618025</v>
      </c>
      <c r="G50">
        <v>10000</v>
      </c>
      <c r="H50">
        <v>383814.10656875919</v>
      </c>
      <c r="I50">
        <v>51.101993929926216</v>
      </c>
    </row>
    <row r="51" spans="1:9" x14ac:dyDescent="0.2">
      <c r="A51">
        <v>41</v>
      </c>
      <c r="B51">
        <v>969003.67257237586</v>
      </c>
      <c r="C51">
        <v>130911.8321964092</v>
      </c>
      <c r="D51">
        <v>68529.234983914139</v>
      </c>
      <c r="E51">
        <v>39335.257867005857</v>
      </c>
      <c r="F51">
        <v>38723.210160023482</v>
      </c>
      <c r="G51">
        <v>10000</v>
      </c>
      <c r="H51">
        <v>267499.53520735272</v>
      </c>
      <c r="I51">
        <v>32.132279403016739</v>
      </c>
    </row>
    <row r="52" spans="1:9" x14ac:dyDescent="0.2">
      <c r="A52">
        <v>42</v>
      </c>
      <c r="B52">
        <v>1235497.6251379452</v>
      </c>
      <c r="C52">
        <v>127528.49371768071</v>
      </c>
      <c r="D52">
        <v>142744.53041688725</v>
      </c>
      <c r="E52">
        <v>41396.741405854606</v>
      </c>
      <c r="F52">
        <v>38865.928251174548</v>
      </c>
      <c r="G52">
        <v>10000</v>
      </c>
      <c r="H52">
        <v>340535.69379159709</v>
      </c>
      <c r="I52">
        <v>45.902258171038781</v>
      </c>
    </row>
    <row r="53" spans="1:9" x14ac:dyDescent="0.2">
      <c r="A53">
        <v>43</v>
      </c>
      <c r="B53">
        <v>1543445.3287099262</v>
      </c>
      <c r="C53">
        <v>130720.00662940572</v>
      </c>
      <c r="D53">
        <v>110530.14699698129</v>
      </c>
      <c r="E53">
        <v>147472.97474541661</v>
      </c>
      <c r="F53">
        <v>46209.667482374993</v>
      </c>
      <c r="G53">
        <v>10000</v>
      </c>
      <c r="H53">
        <v>424932.79585417861</v>
      </c>
      <c r="I53">
        <v>24.653941916075588</v>
      </c>
    </row>
    <row r="54" spans="1:9" x14ac:dyDescent="0.2">
      <c r="A54">
        <v>44</v>
      </c>
      <c r="B54">
        <v>1132012.844719281</v>
      </c>
      <c r="C54">
        <v>113144.14532328273</v>
      </c>
      <c r="D54">
        <v>92787.012999020328</v>
      </c>
      <c r="E54">
        <v>75047.574505670273</v>
      </c>
      <c r="F54">
        <v>41195.601311931023</v>
      </c>
      <c r="G54">
        <v>10000</v>
      </c>
      <c r="H54">
        <v>312174.33413990436</v>
      </c>
      <c r="I54">
        <v>37.924467903092236</v>
      </c>
    </row>
    <row r="55" spans="1:9" x14ac:dyDescent="0.2">
      <c r="A55">
        <v>45</v>
      </c>
      <c r="B55">
        <v>1661567.9370507235</v>
      </c>
      <c r="C55">
        <v>104349.02274079557</v>
      </c>
      <c r="D55">
        <v>104809.97844398036</v>
      </c>
      <c r="E55">
        <v>207763.23428125912</v>
      </c>
      <c r="F55">
        <v>50383.608527164099</v>
      </c>
      <c r="G55">
        <v>10000</v>
      </c>
      <c r="H55">
        <v>457305.84399319917</v>
      </c>
      <c r="I55">
        <v>45.974564157925826</v>
      </c>
    </row>
    <row r="56" spans="1:9" x14ac:dyDescent="0.2">
      <c r="A56">
        <v>46</v>
      </c>
      <c r="B56">
        <v>1049674.9930875651</v>
      </c>
      <c r="C56">
        <v>117264.97546742288</v>
      </c>
      <c r="D56">
        <v>42261.811047088653</v>
      </c>
      <c r="E56">
        <v>97342.672707183869</v>
      </c>
      <c r="F56">
        <v>42739.108110497349</v>
      </c>
      <c r="G56">
        <v>10000</v>
      </c>
      <c r="H56">
        <v>289608.56733219273</v>
      </c>
      <c r="I56">
        <v>31.876511946524754</v>
      </c>
    </row>
    <row r="57" spans="1:9" x14ac:dyDescent="0.2">
      <c r="A57">
        <v>47</v>
      </c>
      <c r="B57">
        <v>1560242.8331253177</v>
      </c>
      <c r="C57">
        <v>108743.20289954275</v>
      </c>
      <c r="D57">
        <v>83644.724272533174</v>
      </c>
      <c r="E57">
        <v>197476.96276507169</v>
      </c>
      <c r="F57">
        <v>49671.482037581882</v>
      </c>
      <c r="G57">
        <v>10000</v>
      </c>
      <c r="H57">
        <v>429536.37197472947</v>
      </c>
      <c r="I57">
        <v>36.71585069118855</v>
      </c>
    </row>
    <row r="58" spans="1:9" x14ac:dyDescent="0.2">
      <c r="A58">
        <v>48</v>
      </c>
      <c r="B58">
        <v>1739588.6400464051</v>
      </c>
      <c r="C58">
        <v>150609.12380672019</v>
      </c>
      <c r="D58">
        <v>92630.737855749074</v>
      </c>
      <c r="E58">
        <v>195887.15928349414</v>
      </c>
      <c r="F58">
        <v>49561.418719626512</v>
      </c>
      <c r="G58">
        <v>10000</v>
      </c>
      <c r="H58">
        <v>478688.43966558995</v>
      </c>
      <c r="I58">
        <v>39.934962592280257</v>
      </c>
    </row>
    <row r="59" spans="1:9" x14ac:dyDescent="0.2">
      <c r="A59">
        <v>49</v>
      </c>
      <c r="B59">
        <v>1083206.2355986394</v>
      </c>
      <c r="C59">
        <v>139686.70625167125</v>
      </c>
      <c r="D59">
        <v>35558.991750953501</v>
      </c>
      <c r="E59">
        <v>91236.193703667348</v>
      </c>
      <c r="F59">
        <v>42316.351871792351</v>
      </c>
      <c r="G59">
        <v>10000</v>
      </c>
      <c r="H59">
        <v>298798.2435780844</v>
      </c>
      <c r="I59">
        <v>50.134582074040765</v>
      </c>
    </row>
    <row r="60" spans="1:9" x14ac:dyDescent="0.2">
      <c r="A60">
        <v>50</v>
      </c>
      <c r="B60">
        <v>1482485.1290384238</v>
      </c>
      <c r="C60">
        <v>102859.66097209568</v>
      </c>
      <c r="D60">
        <v>122344.97371503376</v>
      </c>
      <c r="E60">
        <v>146854.3783342753</v>
      </c>
      <c r="F60">
        <v>46166.841576988285</v>
      </c>
      <c r="G60">
        <v>10000</v>
      </c>
      <c r="H60">
        <v>408225.85459839302</v>
      </c>
      <c r="I60">
        <v>41.082684842406863</v>
      </c>
    </row>
    <row r="61" spans="1:9" x14ac:dyDescent="0.2">
      <c r="A61">
        <v>51</v>
      </c>
      <c r="B61">
        <v>1428338.5366135666</v>
      </c>
      <c r="C61">
        <v>100399.90013248226</v>
      </c>
      <c r="D61">
        <v>113641.39791803027</v>
      </c>
      <c r="E61">
        <v>143416.16237047574</v>
      </c>
      <c r="F61">
        <v>45928.811241032927</v>
      </c>
      <c r="G61">
        <v>10000</v>
      </c>
      <c r="H61">
        <v>393386.27166202117</v>
      </c>
      <c r="I61">
        <v>49.399872118669563</v>
      </c>
    </row>
    <row r="62" spans="1:9" x14ac:dyDescent="0.2">
      <c r="A62">
        <v>52</v>
      </c>
      <c r="B62">
        <v>895259.78271882853</v>
      </c>
      <c r="C62">
        <v>123722.85769134283</v>
      </c>
      <c r="D62">
        <v>32927.935486984345</v>
      </c>
      <c r="E62">
        <v>60453.051746713354</v>
      </c>
      <c r="F62">
        <v>40185.21127477246</v>
      </c>
      <c r="G62">
        <v>10000</v>
      </c>
      <c r="H62">
        <v>247289.05619981297</v>
      </c>
      <c r="I62">
        <v>43.585841892280868</v>
      </c>
    </row>
    <row r="63" spans="1:9" x14ac:dyDescent="0.2">
      <c r="A63">
        <v>53</v>
      </c>
      <c r="B63">
        <v>1057693.9378296686</v>
      </c>
      <c r="C63">
        <v>141661.6066801064</v>
      </c>
      <c r="D63">
        <v>87442.907541791268</v>
      </c>
      <c r="E63">
        <v>34325.377659883517</v>
      </c>
      <c r="F63">
        <v>38376.372299530398</v>
      </c>
      <c r="G63">
        <v>10000</v>
      </c>
      <c r="H63">
        <v>291806.26418131159</v>
      </c>
      <c r="I63">
        <v>49.614866133550692</v>
      </c>
    </row>
    <row r="64" spans="1:9" x14ac:dyDescent="0.2">
      <c r="A64">
        <v>54</v>
      </c>
      <c r="B64">
        <v>1489711.5272563705</v>
      </c>
      <c r="C64">
        <v>115119.3295190529</v>
      </c>
      <c r="D64">
        <v>67234.851599796384</v>
      </c>
      <c r="E64">
        <v>188782.59808884081</v>
      </c>
      <c r="F64">
        <v>49069.564483073591</v>
      </c>
      <c r="G64">
        <v>10000</v>
      </c>
      <c r="H64">
        <v>410206.34369076369</v>
      </c>
      <c r="I64">
        <v>34.76029891335746</v>
      </c>
    </row>
    <row r="65" spans="1:9" x14ac:dyDescent="0.2">
      <c r="A65">
        <v>55</v>
      </c>
      <c r="B65">
        <v>1108156.6117142728</v>
      </c>
      <c r="C65">
        <v>103458.20449887216</v>
      </c>
      <c r="D65">
        <v>89269.324237229273</v>
      </c>
      <c r="E65">
        <v>81281.510736362237</v>
      </c>
      <c r="F65">
        <v>41627.181512517382</v>
      </c>
      <c r="G65">
        <v>10000</v>
      </c>
      <c r="H65">
        <v>305636.22098498105</v>
      </c>
      <c r="I65">
        <v>38.180602960548967</v>
      </c>
    </row>
    <row r="66" spans="1:9" x14ac:dyDescent="0.2">
      <c r="A66">
        <v>56</v>
      </c>
      <c r="B66">
        <v>913962.3983939488</v>
      </c>
      <c r="C66">
        <v>122807.83100924178</v>
      </c>
      <c r="D66">
        <v>75423.472695843215</v>
      </c>
      <c r="E66">
        <v>26358.621658356486</v>
      </c>
      <c r="F66">
        <v>37824.827653270841</v>
      </c>
      <c r="G66">
        <v>10000</v>
      </c>
      <c r="H66">
        <v>252414.75301671232</v>
      </c>
      <c r="I66">
        <v>30.454063478275813</v>
      </c>
    </row>
    <row r="67" spans="1:9" x14ac:dyDescent="0.2">
      <c r="A67">
        <v>57</v>
      </c>
      <c r="B67">
        <v>1014863.1210332199</v>
      </c>
      <c r="C67">
        <v>108776.28358827508</v>
      </c>
      <c r="D67">
        <v>66594.758622907611</v>
      </c>
      <c r="E67">
        <v>73601.394421200312</v>
      </c>
      <c r="F67">
        <v>41095.481152236949</v>
      </c>
      <c r="G67">
        <v>10000</v>
      </c>
      <c r="H67">
        <v>280067.91778461996</v>
      </c>
      <c r="I67">
        <v>33.307261666723221</v>
      </c>
    </row>
    <row r="68" spans="1:9" x14ac:dyDescent="0.2">
      <c r="A68">
        <v>58</v>
      </c>
      <c r="B68">
        <v>1568828.1927662597</v>
      </c>
      <c r="C68">
        <v>116073.72914199469</v>
      </c>
      <c r="D68">
        <v>80687.673439860737</v>
      </c>
      <c r="E68">
        <v>195587.24429068639</v>
      </c>
      <c r="F68">
        <v>49540.655373970592</v>
      </c>
      <c r="G68">
        <v>10000</v>
      </c>
      <c r="H68">
        <v>431889.30224651238</v>
      </c>
      <c r="I68">
        <v>36.313774240043223</v>
      </c>
    </row>
    <row r="69" spans="1:9" x14ac:dyDescent="0.2">
      <c r="A69">
        <v>59</v>
      </c>
      <c r="B69">
        <v>1173055.5617343315</v>
      </c>
      <c r="C69">
        <v>91092.115953404675</v>
      </c>
      <c r="D69">
        <v>64761.919325185256</v>
      </c>
      <c r="E69">
        <v>132402.2813072525</v>
      </c>
      <c r="F69">
        <v>45166.311782809789</v>
      </c>
      <c r="G69">
        <v>10000</v>
      </c>
      <c r="H69">
        <v>323422.62836865219</v>
      </c>
      <c r="I69">
        <v>39.435677958901252</v>
      </c>
    </row>
    <row r="70" spans="1:9" x14ac:dyDescent="0.2">
      <c r="A70">
        <v>60</v>
      </c>
      <c r="B70">
        <v>1133772.3026252317</v>
      </c>
      <c r="C70">
        <v>121422.87271062695</v>
      </c>
      <c r="D70">
        <v>55331.235713116599</v>
      </c>
      <c r="E70">
        <v>102786.44364304644</v>
      </c>
      <c r="F70">
        <v>43115.984559903212</v>
      </c>
      <c r="G70">
        <v>10000</v>
      </c>
      <c r="H70">
        <v>312656.53662669321</v>
      </c>
      <c r="I70">
        <v>36.291282502882169</v>
      </c>
    </row>
    <row r="71" spans="1:9" x14ac:dyDescent="0.2">
      <c r="A71">
        <v>61</v>
      </c>
      <c r="B71">
        <v>1530914.8567699881</v>
      </c>
      <c r="C71">
        <v>98692.398251722203</v>
      </c>
      <c r="D71">
        <v>98960.129723932128</v>
      </c>
      <c r="E71">
        <v>185035.94695964074</v>
      </c>
      <c r="F71">
        <v>48810.180943359737</v>
      </c>
      <c r="G71">
        <v>10000</v>
      </c>
      <c r="H71">
        <v>421498.6558786548</v>
      </c>
      <c r="I71">
        <v>37.652982133402702</v>
      </c>
    </row>
    <row r="72" spans="1:9" x14ac:dyDescent="0.2">
      <c r="A72">
        <v>62</v>
      </c>
      <c r="B72">
        <v>1595080.4652581378</v>
      </c>
      <c r="C72">
        <v>164885.99719506199</v>
      </c>
      <c r="D72">
        <v>89017.969588043445</v>
      </c>
      <c r="E72">
        <v>148873.4884992693</v>
      </c>
      <c r="F72">
        <v>46306.626126872485</v>
      </c>
      <c r="G72">
        <v>10000</v>
      </c>
      <c r="H72">
        <v>439084.08140924724</v>
      </c>
      <c r="I72">
        <v>26.932920892938917</v>
      </c>
    </row>
    <row r="73" spans="1:9" x14ac:dyDescent="0.2">
      <c r="A73">
        <v>63</v>
      </c>
      <c r="B73">
        <v>966912.91229779297</v>
      </c>
      <c r="C73">
        <v>128686.91070510376</v>
      </c>
      <c r="D73">
        <v>60553.534803420713</v>
      </c>
      <c r="E73">
        <v>48339.508126268687</v>
      </c>
      <c r="F73">
        <v>39346.581331818605</v>
      </c>
      <c r="G73">
        <v>10000</v>
      </c>
      <c r="H73">
        <v>266926.53496661177</v>
      </c>
      <c r="I73">
        <v>38.865086667527777</v>
      </c>
    </row>
    <row r="74" spans="1:9" x14ac:dyDescent="0.2">
      <c r="A74">
        <v>64</v>
      </c>
      <c r="B74">
        <v>934723.58427138603</v>
      </c>
      <c r="C74">
        <v>91949.480282252262</v>
      </c>
      <c r="D74">
        <v>39473.589312749195</v>
      </c>
      <c r="E74">
        <v>94162.608545966214</v>
      </c>
      <c r="F74">
        <v>42518.949822413051</v>
      </c>
      <c r="G74">
        <v>10000</v>
      </c>
      <c r="H74">
        <v>258104.62796338071</v>
      </c>
      <c r="I74">
        <v>44.573240171233479</v>
      </c>
    </row>
    <row r="75" spans="1:9" x14ac:dyDescent="0.2">
      <c r="A75">
        <v>65</v>
      </c>
      <c r="B75">
        <v>1510656.7152378012</v>
      </c>
      <c r="C75">
        <v>106789.34342228626</v>
      </c>
      <c r="D75">
        <v>118997.3823866934</v>
      </c>
      <c r="E75">
        <v>153530.8613812628</v>
      </c>
      <c r="F75">
        <v>46629.059634087418</v>
      </c>
      <c r="G75">
        <v>10000</v>
      </c>
      <c r="H75">
        <v>415946.64682432992</v>
      </c>
      <c r="I75">
        <v>37.736261579354888</v>
      </c>
    </row>
    <row r="76" spans="1:9" x14ac:dyDescent="0.2">
      <c r="A76">
        <v>66</v>
      </c>
      <c r="B76">
        <v>1586766.7031358555</v>
      </c>
      <c r="C76">
        <v>108368.45506936705</v>
      </c>
      <c r="D76">
        <v>162953.96337971941</v>
      </c>
      <c r="E76">
        <v>130451.88331649954</v>
      </c>
      <c r="F76">
        <v>45031.284229603814</v>
      </c>
      <c r="G76">
        <v>10000</v>
      </c>
      <c r="H76">
        <v>436805.58599518985</v>
      </c>
      <c r="I76">
        <v>48.311162794461403</v>
      </c>
    </row>
    <row r="77" spans="1:9" x14ac:dyDescent="0.2">
      <c r="A77">
        <v>67</v>
      </c>
      <c r="B77">
        <v>1587522.2111318451</v>
      </c>
      <c r="C77">
        <v>120288.31389165414</v>
      </c>
      <c r="D77">
        <v>127867.55728007155</v>
      </c>
      <c r="E77">
        <v>152312.08862755832</v>
      </c>
      <c r="F77">
        <v>46544.683058830968</v>
      </c>
      <c r="G77">
        <v>10000</v>
      </c>
      <c r="H77">
        <v>437012.64285811497</v>
      </c>
      <c r="I77">
        <v>37.538592537958671</v>
      </c>
    </row>
    <row r="78" spans="1:9" x14ac:dyDescent="0.2">
      <c r="A78">
        <v>68</v>
      </c>
      <c r="B78">
        <v>1381489.9936470753</v>
      </c>
      <c r="C78">
        <v>81528.368644764036</v>
      </c>
      <c r="D78">
        <v>142992.70070544016</v>
      </c>
      <c r="E78">
        <v>121606.81227157095</v>
      </c>
      <c r="F78">
        <v>44418.933157262603</v>
      </c>
      <c r="G78">
        <v>10000</v>
      </c>
      <c r="H78">
        <v>380546.81477903778</v>
      </c>
      <c r="I78">
        <v>39.160814872771233</v>
      </c>
    </row>
    <row r="79" spans="1:9" x14ac:dyDescent="0.2">
      <c r="A79">
        <v>69</v>
      </c>
      <c r="B79">
        <v>1269443.7052876183</v>
      </c>
      <c r="C79">
        <v>76903.932445737839</v>
      </c>
      <c r="D79">
        <v>102025.21819812816</v>
      </c>
      <c r="E79">
        <v>135527.25496930315</v>
      </c>
      <c r="F79">
        <v>45382.656113259443</v>
      </c>
      <c r="G79">
        <v>10000</v>
      </c>
      <c r="H79">
        <v>349839.06172642857</v>
      </c>
      <c r="I79">
        <v>47.149723547502965</v>
      </c>
    </row>
    <row r="80" spans="1:9" x14ac:dyDescent="0.2">
      <c r="A80">
        <v>70</v>
      </c>
      <c r="B80">
        <v>1014974.0327294033</v>
      </c>
      <c r="C80">
        <v>95690.250332559954</v>
      </c>
      <c r="D80">
        <v>65015.223035082607</v>
      </c>
      <c r="E80">
        <v>87345.822723911071</v>
      </c>
      <c r="F80">
        <v>42047.018496270772</v>
      </c>
      <c r="G80">
        <v>10000</v>
      </c>
      <c r="H80">
        <v>280098.3145878244</v>
      </c>
      <c r="I80">
        <v>27.872059518619924</v>
      </c>
    </row>
    <row r="81" spans="1:9" x14ac:dyDescent="0.2">
      <c r="A81">
        <v>71</v>
      </c>
      <c r="B81">
        <v>1192728.0607896519</v>
      </c>
      <c r="C81">
        <v>157437.81638795004</v>
      </c>
      <c r="D81">
        <v>54572.878855176357</v>
      </c>
      <c r="E81">
        <v>84924.079815703735</v>
      </c>
      <c r="F81">
        <v>41879.359371856408</v>
      </c>
      <c r="G81">
        <v>10000</v>
      </c>
      <c r="H81">
        <v>328814.13443068659</v>
      </c>
      <c r="I81">
        <v>35.690584766987428</v>
      </c>
    </row>
    <row r="82" spans="1:9" x14ac:dyDescent="0.2">
      <c r="A82">
        <v>72</v>
      </c>
      <c r="B82">
        <v>1096752.0784541646</v>
      </c>
      <c r="C82">
        <v>100385.71618271364</v>
      </c>
      <c r="D82">
        <v>106858.56270714769</v>
      </c>
      <c r="E82">
        <v>64781.506815073582</v>
      </c>
      <c r="F82">
        <v>40484.873548735864</v>
      </c>
      <c r="G82">
        <v>10000</v>
      </c>
      <c r="H82">
        <v>302510.65925367078</v>
      </c>
      <c r="I82">
        <v>46.315605894232107</v>
      </c>
    </row>
    <row r="83" spans="1:9" x14ac:dyDescent="0.2">
      <c r="A83">
        <v>73</v>
      </c>
      <c r="B83">
        <v>1269998.8304359093</v>
      </c>
      <c r="C83">
        <v>151111.60332330174</v>
      </c>
      <c r="D83">
        <v>91279.518703175156</v>
      </c>
      <c r="E83">
        <v>76316.620664868751</v>
      </c>
      <c r="F83">
        <v>41283.458353721682</v>
      </c>
      <c r="G83">
        <v>10000</v>
      </c>
      <c r="H83">
        <v>349991.20104506728</v>
      </c>
      <c r="I83">
        <v>34.023545112215885</v>
      </c>
    </row>
    <row r="84" spans="1:9" x14ac:dyDescent="0.2">
      <c r="A84">
        <v>74</v>
      </c>
      <c r="B84">
        <v>1328136.6219361546</v>
      </c>
      <c r="C84">
        <v>149993.18273369831</v>
      </c>
      <c r="D84">
        <v>90916.413989672859</v>
      </c>
      <c r="E84">
        <v>92603.982691049241</v>
      </c>
      <c r="F84">
        <v>42411.044955534177</v>
      </c>
      <c r="G84">
        <v>10000</v>
      </c>
      <c r="H84">
        <v>365924.62436995457</v>
      </c>
      <c r="I84">
        <v>44.762430676301463</v>
      </c>
    </row>
    <row r="85" spans="1:9" x14ac:dyDescent="0.2">
      <c r="A85">
        <v>75</v>
      </c>
      <c r="B85">
        <v>1508388.0899216498</v>
      </c>
      <c r="C85">
        <v>123709.42657178603</v>
      </c>
      <c r="D85">
        <v>118003.47553915094</v>
      </c>
      <c r="E85">
        <v>138054.38683203887</v>
      </c>
      <c r="F85">
        <v>45557.611396064225</v>
      </c>
      <c r="G85">
        <v>10000</v>
      </c>
      <c r="H85">
        <v>415324.90033904003</v>
      </c>
      <c r="I85">
        <v>46.879335148232499</v>
      </c>
    </row>
    <row r="86" spans="1:9" x14ac:dyDescent="0.2">
      <c r="A86">
        <v>76</v>
      </c>
      <c r="B86">
        <v>1193715.3235863252</v>
      </c>
      <c r="C86">
        <v>78489.546448023029</v>
      </c>
      <c r="D86">
        <v>35981.720365846457</v>
      </c>
      <c r="E86">
        <v>176401.05891676497</v>
      </c>
      <c r="F86">
        <v>48212.381001929883</v>
      </c>
      <c r="G86">
        <v>10000</v>
      </c>
      <c r="H86">
        <v>329084.70673256431</v>
      </c>
      <c r="I86">
        <v>37.827852862461555</v>
      </c>
    </row>
    <row r="87" spans="1:9" x14ac:dyDescent="0.2">
      <c r="A87">
        <v>77</v>
      </c>
      <c r="B87">
        <v>1413519.5187027378</v>
      </c>
      <c r="C87">
        <v>105256.20603378295</v>
      </c>
      <c r="D87">
        <v>104185.74914043429</v>
      </c>
      <c r="E87">
        <v>143919.3249379828</v>
      </c>
      <c r="F87">
        <v>45963.645572629583</v>
      </c>
      <c r="G87">
        <v>10000</v>
      </c>
      <c r="H87">
        <v>389324.92568482965</v>
      </c>
      <c r="I87">
        <v>32.78537076459714</v>
      </c>
    </row>
    <row r="88" spans="1:9" x14ac:dyDescent="0.2">
      <c r="A88">
        <v>78</v>
      </c>
      <c r="B88">
        <v>1174641.0348555481</v>
      </c>
      <c r="C88">
        <v>124483.16423021424</v>
      </c>
      <c r="D88">
        <v>110571.72380841215</v>
      </c>
      <c r="E88">
        <v>58735.926625700529</v>
      </c>
      <c r="F88">
        <v>40066.333381779266</v>
      </c>
      <c r="G88">
        <v>10000</v>
      </c>
      <c r="H88">
        <v>323857.14804610622</v>
      </c>
      <c r="I88">
        <v>31.723597439046401</v>
      </c>
    </row>
    <row r="89" spans="1:9" x14ac:dyDescent="0.2">
      <c r="A89">
        <v>79</v>
      </c>
      <c r="B89">
        <v>1306193.1331792073</v>
      </c>
      <c r="C89">
        <v>89844.45184347601</v>
      </c>
      <c r="D89">
        <v>85000.756960783372</v>
      </c>
      <c r="E89">
        <v>148766.30901858088</v>
      </c>
      <c r="F89">
        <v>46299.206008978683</v>
      </c>
      <c r="G89">
        <v>10000</v>
      </c>
      <c r="H89">
        <v>359910.7238318189</v>
      </c>
      <c r="I89">
        <v>37.441887242617256</v>
      </c>
    </row>
    <row r="90" spans="1:9" x14ac:dyDescent="0.2">
      <c r="A90">
        <v>80</v>
      </c>
      <c r="B90">
        <v>874680.66056738421</v>
      </c>
      <c r="C90">
        <v>107402.81009282317</v>
      </c>
      <c r="D90">
        <v>41248.498503562791</v>
      </c>
      <c r="E90">
        <v>62659.784523385664</v>
      </c>
      <c r="F90">
        <v>40337.985082388237</v>
      </c>
      <c r="G90">
        <v>10000</v>
      </c>
      <c r="H90">
        <v>241649.07820215987</v>
      </c>
      <c r="I90">
        <v>32.333470124840545</v>
      </c>
    </row>
    <row r="91" spans="1:9" x14ac:dyDescent="0.2">
      <c r="A91">
        <v>81</v>
      </c>
      <c r="B91">
        <v>1557322.1055637349</v>
      </c>
      <c r="C91">
        <v>130099.26955784207</v>
      </c>
      <c r="D91">
        <v>146913.59592209567</v>
      </c>
      <c r="E91">
        <v>117582.7019432934</v>
      </c>
      <c r="F91">
        <v>44140.340903766468</v>
      </c>
      <c r="G91">
        <v>10000</v>
      </c>
      <c r="H91">
        <v>428735.9083269976</v>
      </c>
      <c r="I91">
        <v>36.621925136475269</v>
      </c>
    </row>
    <row r="92" spans="1:9" x14ac:dyDescent="0.2">
      <c r="A92">
        <v>82</v>
      </c>
      <c r="B92">
        <v>1616209.3170960771</v>
      </c>
      <c r="C92">
        <v>114165.49944223613</v>
      </c>
      <c r="D92">
        <v>121921.26179153861</v>
      </c>
      <c r="E92">
        <v>170952.76721814193</v>
      </c>
      <c r="F92">
        <v>47835.191576640595</v>
      </c>
      <c r="G92">
        <v>10000</v>
      </c>
      <c r="H92">
        <v>444874.72002855723</v>
      </c>
      <c r="I92">
        <v>43.5858687385645</v>
      </c>
    </row>
    <row r="93" spans="1:9" x14ac:dyDescent="0.2">
      <c r="A93">
        <v>83</v>
      </c>
      <c r="B93">
        <v>1199644.674804599</v>
      </c>
      <c r="C93">
        <v>150383.83913261761</v>
      </c>
      <c r="D93">
        <v>45895.951098430982</v>
      </c>
      <c r="E93">
        <v>101409.28973754492</v>
      </c>
      <c r="F93">
        <v>43020.64313567619</v>
      </c>
      <c r="G93">
        <v>10000</v>
      </c>
      <c r="H93">
        <v>330709.72310426971</v>
      </c>
      <c r="I93">
        <v>32.038286119866953</v>
      </c>
    </row>
    <row r="94" spans="1:9" x14ac:dyDescent="0.2">
      <c r="A94">
        <v>84</v>
      </c>
      <c r="B94">
        <v>1654119.8730300078</v>
      </c>
      <c r="C94">
        <v>126621.32786973186</v>
      </c>
      <c r="D94">
        <v>117065.06355985628</v>
      </c>
      <c r="E94">
        <v>173562.35753282212</v>
      </c>
      <c r="F94">
        <v>48015.855521503072</v>
      </c>
      <c r="G94">
        <v>10000</v>
      </c>
      <c r="H94">
        <v>455264.60448391334</v>
      </c>
      <c r="I94">
        <v>35.87423208661032</v>
      </c>
    </row>
    <row r="95" spans="1:9" x14ac:dyDescent="0.2">
      <c r="A95">
        <v>85</v>
      </c>
      <c r="B95">
        <v>1645890.9759478697</v>
      </c>
      <c r="C95">
        <v>162465.89106467928</v>
      </c>
      <c r="D95">
        <v>72168.162256466676</v>
      </c>
      <c r="E95">
        <v>179919.35853383024</v>
      </c>
      <c r="F95">
        <v>48455.955590803635</v>
      </c>
      <c r="G95">
        <v>10000</v>
      </c>
      <c r="H95">
        <v>453009.36744577985</v>
      </c>
      <c r="I95">
        <v>28.643403560592049</v>
      </c>
    </row>
    <row r="96" spans="1:9" x14ac:dyDescent="0.2">
      <c r="A96">
        <v>86</v>
      </c>
      <c r="B96">
        <v>1500927.2418464664</v>
      </c>
      <c r="C96">
        <v>107306.90376461389</v>
      </c>
      <c r="D96">
        <v>110768.99548612273</v>
      </c>
      <c r="E96">
        <v>158248.58656392587</v>
      </c>
      <c r="F96">
        <v>46955.671377502564</v>
      </c>
      <c r="G96">
        <v>10000</v>
      </c>
      <c r="H96">
        <v>413280.15719216509</v>
      </c>
      <c r="I96">
        <v>52.391210191606632</v>
      </c>
    </row>
    <row r="97" spans="1:9" x14ac:dyDescent="0.2">
      <c r="A97">
        <v>87</v>
      </c>
      <c r="B97">
        <v>1164072.1453513813</v>
      </c>
      <c r="C97">
        <v>76452.137608433142</v>
      </c>
      <c r="D97">
        <v>97291.171965268048</v>
      </c>
      <c r="E97">
        <v>113368.69396862164</v>
      </c>
      <c r="F97">
        <v>43848.601890135345</v>
      </c>
      <c r="G97">
        <v>10000</v>
      </c>
      <c r="H97">
        <v>320960.60543245811</v>
      </c>
      <c r="I97">
        <v>53.415197503268587</v>
      </c>
    </row>
    <row r="98" spans="1:9" x14ac:dyDescent="0.2">
      <c r="A98">
        <v>88</v>
      </c>
      <c r="B98">
        <v>1838723.5354365893</v>
      </c>
      <c r="C98">
        <v>151743.26300512458</v>
      </c>
      <c r="D98">
        <v>144185.7787170661</v>
      </c>
      <c r="E98">
        <v>172019.56763264519</v>
      </c>
      <c r="F98">
        <v>47909.04698995236</v>
      </c>
      <c r="G98">
        <v>10000</v>
      </c>
      <c r="H98">
        <v>505857.65634478827</v>
      </c>
      <c r="I98">
        <v>50.99180507913524</v>
      </c>
    </row>
    <row r="99" spans="1:9" x14ac:dyDescent="0.2">
      <c r="A99">
        <v>89</v>
      </c>
      <c r="B99">
        <v>1096940.1617059493</v>
      </c>
      <c r="C99">
        <v>98630.379537512272</v>
      </c>
      <c r="D99">
        <v>81881.840471790914</v>
      </c>
      <c r="E99">
        <v>89830.922086518709</v>
      </c>
      <c r="F99">
        <v>42219.063836758993</v>
      </c>
      <c r="G99">
        <v>10000</v>
      </c>
      <c r="H99">
        <v>302562.20593258092</v>
      </c>
      <c r="I99">
        <v>28.899178891396371</v>
      </c>
    </row>
    <row r="100" spans="1:9" x14ac:dyDescent="0.2">
      <c r="A100">
        <v>90</v>
      </c>
      <c r="B100">
        <v>1461894.3040959332</v>
      </c>
      <c r="C100">
        <v>97207.270121443173</v>
      </c>
      <c r="D100">
        <v>59265.745863953831</v>
      </c>
      <c r="E100">
        <v>205857.94914086745</v>
      </c>
      <c r="F100">
        <v>50251.704171290825</v>
      </c>
      <c r="G100">
        <v>10000</v>
      </c>
      <c r="H100">
        <v>402582.66929755535</v>
      </c>
      <c r="I100">
        <v>35.575018806250597</v>
      </c>
    </row>
    <row r="101" spans="1:9" x14ac:dyDescent="0.2">
      <c r="A101">
        <v>91</v>
      </c>
      <c r="B101">
        <v>1125112.3640123468</v>
      </c>
      <c r="C101">
        <v>140664.09232468897</v>
      </c>
      <c r="D101">
        <v>85187.677684363807</v>
      </c>
      <c r="E101">
        <v>54648.069138247352</v>
      </c>
      <c r="F101">
        <v>39783.327863417122</v>
      </c>
      <c r="G101">
        <v>10000</v>
      </c>
      <c r="H101">
        <v>310283.16701071721</v>
      </c>
      <c r="I101">
        <v>35.967900821981573</v>
      </c>
    </row>
    <row r="102" spans="1:9" x14ac:dyDescent="0.2">
      <c r="A102">
        <v>92</v>
      </c>
      <c r="B102">
        <v>1053233.7453986693</v>
      </c>
      <c r="C102">
        <v>114197.57009403828</v>
      </c>
      <c r="D102">
        <v>78610.961172298543</v>
      </c>
      <c r="E102">
        <v>67128.033366929158</v>
      </c>
      <c r="F102">
        <v>40647.325386941251</v>
      </c>
      <c r="G102">
        <v>10000</v>
      </c>
      <c r="H102">
        <v>290583.89002020721</v>
      </c>
      <c r="I102">
        <v>38.215055117711302</v>
      </c>
    </row>
    <row r="103" spans="1:9" x14ac:dyDescent="0.2">
      <c r="A103">
        <v>93</v>
      </c>
      <c r="B103">
        <v>1253017.7941795089</v>
      </c>
      <c r="C103">
        <v>95870.428435588983</v>
      </c>
      <c r="D103">
        <v>53291.78459268446</v>
      </c>
      <c r="E103">
        <v>159156.58012115047</v>
      </c>
      <c r="F103">
        <v>47018.532469925798</v>
      </c>
      <c r="G103">
        <v>10000</v>
      </c>
      <c r="H103">
        <v>345337.32561934972</v>
      </c>
      <c r="I103">
        <v>50.255127990693637</v>
      </c>
    </row>
    <row r="104" spans="1:9" x14ac:dyDescent="0.2">
      <c r="A104">
        <v>94</v>
      </c>
      <c r="B104">
        <v>1571447.322269564</v>
      </c>
      <c r="C104">
        <v>108734.0702528743</v>
      </c>
      <c r="D104">
        <v>91405.184623701789</v>
      </c>
      <c r="E104">
        <v>193099.43190992554</v>
      </c>
      <c r="F104">
        <v>49368.422209148688</v>
      </c>
      <c r="G104">
        <v>10000</v>
      </c>
      <c r="H104">
        <v>432607.10899565031</v>
      </c>
      <c r="I104">
        <v>29.552052422072521</v>
      </c>
    </row>
    <row r="105" spans="1:9" x14ac:dyDescent="0.2">
      <c r="A105">
        <v>95</v>
      </c>
      <c r="B105">
        <v>1244401.2588313532</v>
      </c>
      <c r="C105">
        <v>106820.46327093741</v>
      </c>
      <c r="D105">
        <v>96628.420313643393</v>
      </c>
      <c r="E105">
        <v>106176.30068176796</v>
      </c>
      <c r="F105">
        <v>43350.666970276237</v>
      </c>
      <c r="G105">
        <v>10000</v>
      </c>
      <c r="H105">
        <v>342975.85123662493</v>
      </c>
      <c r="I105">
        <v>31.293465998657364</v>
      </c>
    </row>
    <row r="106" spans="1:9" x14ac:dyDescent="0.2">
      <c r="A106">
        <v>96</v>
      </c>
      <c r="B106">
        <v>935102.17432343541</v>
      </c>
      <c r="C106">
        <v>132293.2088043729</v>
      </c>
      <c r="D106">
        <v>62438.877797349174</v>
      </c>
      <c r="E106">
        <v>35049.775972728508</v>
      </c>
      <c r="F106">
        <v>38426.522951958126</v>
      </c>
      <c r="G106">
        <v>10000</v>
      </c>
      <c r="H106">
        <v>258208.38552640873</v>
      </c>
      <c r="I106">
        <v>40.726596593388955</v>
      </c>
    </row>
    <row r="107" spans="1:9" x14ac:dyDescent="0.2">
      <c r="A107">
        <v>97</v>
      </c>
      <c r="B107">
        <v>1211913.1934264645</v>
      </c>
      <c r="C107">
        <v>130136.6754256899</v>
      </c>
      <c r="D107">
        <v>43702.824333679084</v>
      </c>
      <c r="E107">
        <v>125541.25399774296</v>
      </c>
      <c r="F107">
        <v>44691.317584459131</v>
      </c>
      <c r="G107">
        <v>10000</v>
      </c>
      <c r="H107">
        <v>334072.07134157111</v>
      </c>
      <c r="I107">
        <v>29.38643737216843</v>
      </c>
    </row>
    <row r="108" spans="1:9" x14ac:dyDescent="0.2">
      <c r="A108">
        <v>98</v>
      </c>
      <c r="B108">
        <v>946520.01257299155</v>
      </c>
      <c r="C108">
        <v>122206.91967752046</v>
      </c>
      <c r="D108">
        <v>52230.813203730257</v>
      </c>
      <c r="E108">
        <v>56956.704329529668</v>
      </c>
      <c r="F108">
        <v>39943.156453582822</v>
      </c>
      <c r="G108">
        <v>10000</v>
      </c>
      <c r="H108">
        <v>261337.5936643632</v>
      </c>
      <c r="I108">
        <v>37.008870038480808</v>
      </c>
    </row>
    <row r="109" spans="1:9" x14ac:dyDescent="0.2">
      <c r="A109">
        <v>99</v>
      </c>
      <c r="B109">
        <v>1460505.5582078989</v>
      </c>
      <c r="C109">
        <v>117788.3143599473</v>
      </c>
      <c r="D109">
        <v>76785.410994712089</v>
      </c>
      <c r="E109">
        <v>169868.23159920107</v>
      </c>
      <c r="F109">
        <v>47760.108341483145</v>
      </c>
      <c r="G109">
        <v>10000</v>
      </c>
      <c r="H109">
        <v>402202.06529534364</v>
      </c>
      <c r="I109">
        <v>32.063971730684685</v>
      </c>
    </row>
    <row r="110" spans="1:9" x14ac:dyDescent="0.2">
      <c r="A110">
        <v>100</v>
      </c>
      <c r="B110">
        <v>957258.10565088806</v>
      </c>
      <c r="C110">
        <v>85886.521440376775</v>
      </c>
      <c r="D110">
        <v>68862.558663978634</v>
      </c>
      <c r="E110">
        <v>78122.918862107806</v>
      </c>
      <c r="F110">
        <v>41408.509767376694</v>
      </c>
      <c r="G110">
        <v>10000</v>
      </c>
      <c r="H110">
        <v>264280.5087338399</v>
      </c>
      <c r="I110">
        <v>31.821623568219852</v>
      </c>
    </row>
    <row r="111" spans="1:9" x14ac:dyDescent="0.2">
      <c r="A111">
        <v>101</v>
      </c>
      <c r="B111">
        <v>1331932.9546148391</v>
      </c>
      <c r="C111">
        <v>115819.73011004808</v>
      </c>
      <c r="D111">
        <v>58278.554980651053</v>
      </c>
      <c r="E111">
        <v>156062.450484089</v>
      </c>
      <c r="F111">
        <v>46804.323495052318</v>
      </c>
      <c r="G111">
        <v>10000</v>
      </c>
      <c r="H111">
        <v>366965.05906984047</v>
      </c>
      <c r="I111">
        <v>29.310003151095998</v>
      </c>
    </row>
    <row r="112" spans="1:9" x14ac:dyDescent="0.2">
      <c r="A112">
        <v>102</v>
      </c>
      <c r="B112">
        <v>1458514.3914829125</v>
      </c>
      <c r="C112">
        <v>76165.677544049191</v>
      </c>
      <c r="D112">
        <v>86460.42156209574</v>
      </c>
      <c r="E112">
        <v>199236.93462225128</v>
      </c>
      <c r="F112">
        <v>49793.32624307894</v>
      </c>
      <c r="G112">
        <v>10000</v>
      </c>
      <c r="H112">
        <v>401656.35997147509</v>
      </c>
      <c r="I112">
        <v>35.94529510561658</v>
      </c>
    </row>
    <row r="113" spans="1:9" x14ac:dyDescent="0.2">
      <c r="A113">
        <v>103</v>
      </c>
      <c r="B113">
        <v>1374140.0841159797</v>
      </c>
      <c r="C113">
        <v>87275.927868337007</v>
      </c>
      <c r="D113">
        <v>151070.80782482971</v>
      </c>
      <c r="E113">
        <v>106792.41879876745</v>
      </c>
      <c r="F113">
        <v>43393.321301453128</v>
      </c>
      <c r="G113">
        <v>10000</v>
      </c>
      <c r="H113">
        <v>378532.47579338728</v>
      </c>
      <c r="I113">
        <v>39.880552424133562</v>
      </c>
    </row>
    <row r="114" spans="1:9" x14ac:dyDescent="0.2">
      <c r="A114">
        <v>104</v>
      </c>
      <c r="B114">
        <v>1709947.6369652441</v>
      </c>
      <c r="C114">
        <v>167259.38753581146</v>
      </c>
      <c r="D114">
        <v>110072.69289540037</v>
      </c>
      <c r="E114">
        <v>156404.82754155161</v>
      </c>
      <c r="F114">
        <v>46828.026522107415</v>
      </c>
      <c r="G114">
        <v>10000</v>
      </c>
      <c r="H114">
        <v>470564.93449487089</v>
      </c>
      <c r="I114">
        <v>35.065921683786009</v>
      </c>
    </row>
    <row r="115" spans="1:9" x14ac:dyDescent="0.2">
      <c r="A115">
        <v>105</v>
      </c>
      <c r="B115">
        <v>1388906.0153759536</v>
      </c>
      <c r="C115">
        <v>102302.88398642396</v>
      </c>
      <c r="D115">
        <v>69580.623554162099</v>
      </c>
      <c r="E115">
        <v>172737.04653187512</v>
      </c>
      <c r="F115">
        <v>47958.718606052891</v>
      </c>
      <c r="G115">
        <v>10000</v>
      </c>
      <c r="H115">
        <v>382579.27267851413</v>
      </c>
      <c r="I115">
        <v>29.672317730461614</v>
      </c>
    </row>
    <row r="116" spans="1:9" x14ac:dyDescent="0.2">
      <c r="A116">
        <v>106</v>
      </c>
      <c r="B116">
        <v>1208606.7395920497</v>
      </c>
      <c r="C116">
        <v>102237.87511064041</v>
      </c>
      <c r="D116">
        <v>136819.31637770755</v>
      </c>
      <c r="E116">
        <v>63698.7868546631</v>
      </c>
      <c r="F116">
        <v>40409.916013015136</v>
      </c>
      <c r="G116">
        <v>10000</v>
      </c>
      <c r="H116">
        <v>333165.8943560262</v>
      </c>
      <c r="I116">
        <v>36.817024385489326</v>
      </c>
    </row>
    <row r="117" spans="1:9" x14ac:dyDescent="0.2">
      <c r="A117">
        <v>107</v>
      </c>
      <c r="B117">
        <v>1406513.6000054427</v>
      </c>
      <c r="C117">
        <v>137159.24939917203</v>
      </c>
      <c r="D117">
        <v>32228.981175968584</v>
      </c>
      <c r="E117">
        <v>179583.89979388769</v>
      </c>
      <c r="F117">
        <v>48432.731524192226</v>
      </c>
      <c r="G117">
        <v>10000</v>
      </c>
      <c r="H117">
        <v>387404.86189322051</v>
      </c>
      <c r="I117">
        <v>32.917241853969074</v>
      </c>
    </row>
    <row r="118" spans="1:9" x14ac:dyDescent="0.2">
      <c r="A118">
        <v>108</v>
      </c>
      <c r="B118">
        <v>997995.26955869235</v>
      </c>
      <c r="C118">
        <v>104764.86046738502</v>
      </c>
      <c r="D118">
        <v>78248.767671950118</v>
      </c>
      <c r="E118">
        <v>62130.118121715699</v>
      </c>
      <c r="F118">
        <v>40301.315869964936</v>
      </c>
      <c r="G118">
        <v>10000</v>
      </c>
      <c r="H118">
        <v>275445.06213101576</v>
      </c>
      <c r="I118">
        <v>35.407320910487542</v>
      </c>
    </row>
    <row r="119" spans="1:9" x14ac:dyDescent="0.2">
      <c r="A119">
        <v>109</v>
      </c>
      <c r="B119">
        <v>1036208.0599084585</v>
      </c>
      <c r="C119">
        <v>113885.30411274104</v>
      </c>
      <c r="D119">
        <v>115041.50379190699</v>
      </c>
      <c r="E119">
        <v>28984.360415233761</v>
      </c>
      <c r="F119">
        <v>38006.609567208492</v>
      </c>
      <c r="G119">
        <v>10000</v>
      </c>
      <c r="H119">
        <v>285917.77788709028</v>
      </c>
      <c r="I119">
        <v>41.467425931187222</v>
      </c>
    </row>
    <row r="120" spans="1:9" x14ac:dyDescent="0.2">
      <c r="A120">
        <v>110</v>
      </c>
      <c r="B120">
        <v>1165177.894991558</v>
      </c>
      <c r="C120">
        <v>75487.609241758328</v>
      </c>
      <c r="D120">
        <v>47359.134609047796</v>
      </c>
      <c r="E120">
        <v>161253.22214504471</v>
      </c>
      <c r="F120">
        <v>47163.684610041557</v>
      </c>
      <c r="G120">
        <v>10000</v>
      </c>
      <c r="H120">
        <v>321263.65060589241</v>
      </c>
      <c r="I120">
        <v>31.726261223781986</v>
      </c>
    </row>
    <row r="121" spans="1:9" x14ac:dyDescent="0.2">
      <c r="A121">
        <v>111</v>
      </c>
      <c r="B121">
        <v>1022388.280676927</v>
      </c>
      <c r="C121">
        <v>154731.9319931322</v>
      </c>
      <c r="D121">
        <v>64003.005416631146</v>
      </c>
      <c r="E121">
        <v>34974.067362862181</v>
      </c>
      <c r="F121">
        <v>38421.281586659687</v>
      </c>
      <c r="G121">
        <v>10000</v>
      </c>
      <c r="H121">
        <v>282130.28635928518</v>
      </c>
      <c r="I121">
        <v>26.207171851202908</v>
      </c>
    </row>
    <row r="122" spans="1:9" x14ac:dyDescent="0.2">
      <c r="A122">
        <v>112</v>
      </c>
      <c r="B122">
        <v>895431.23062459333</v>
      </c>
      <c r="C122">
        <v>132175.27801375012</v>
      </c>
      <c r="D122">
        <v>55384.588340326882</v>
      </c>
      <c r="E122">
        <v>31589.230652665759</v>
      </c>
      <c r="F122">
        <v>38186.946737492246</v>
      </c>
      <c r="G122">
        <v>10000</v>
      </c>
      <c r="H122">
        <v>247336.04374423501</v>
      </c>
      <c r="I122">
        <v>36.774662561217113</v>
      </c>
    </row>
    <row r="123" spans="1:9" x14ac:dyDescent="0.2">
      <c r="A123">
        <v>113</v>
      </c>
      <c r="B123">
        <v>1320171.6898160374</v>
      </c>
      <c r="C123">
        <v>83731.922088929845</v>
      </c>
      <c r="D123">
        <v>104896.88358803724</v>
      </c>
      <c r="E123">
        <v>139458.1310241633</v>
      </c>
      <c r="F123">
        <v>45654.793686288227</v>
      </c>
      <c r="G123">
        <v>10000</v>
      </c>
      <c r="H123">
        <v>363741.73038741859</v>
      </c>
      <c r="I123">
        <v>50.799512114886056</v>
      </c>
    </row>
    <row r="124" spans="1:9" x14ac:dyDescent="0.2">
      <c r="A124">
        <v>114</v>
      </c>
      <c r="B124">
        <v>1206210.9562262262</v>
      </c>
      <c r="C124">
        <v>148725.68115707606</v>
      </c>
      <c r="D124">
        <v>77007.638820227745</v>
      </c>
      <c r="E124">
        <v>75545.879232741267</v>
      </c>
      <c r="F124">
        <v>41230.099331497469</v>
      </c>
      <c r="G124">
        <v>10000</v>
      </c>
      <c r="H124">
        <v>332509.29854154249</v>
      </c>
      <c r="I124">
        <v>48.827610632616654</v>
      </c>
    </row>
    <row r="125" spans="1:9" x14ac:dyDescent="0.2">
      <c r="A125">
        <v>115</v>
      </c>
      <c r="B125">
        <v>1218138.935087587</v>
      </c>
      <c r="C125">
        <v>100139.523228921</v>
      </c>
      <c r="D125">
        <v>70850.598100341813</v>
      </c>
      <c r="E125">
        <v>129801.90999107767</v>
      </c>
      <c r="F125">
        <v>44986.286076305376</v>
      </c>
      <c r="G125">
        <v>10000</v>
      </c>
      <c r="H125">
        <v>335778.31739664584</v>
      </c>
      <c r="I125">
        <v>37.312717812062402</v>
      </c>
    </row>
    <row r="126" spans="1:9" x14ac:dyDescent="0.2">
      <c r="A126">
        <v>116</v>
      </c>
      <c r="B126">
        <v>1126210.752340036</v>
      </c>
      <c r="C126">
        <v>96582.098553548698</v>
      </c>
      <c r="D126">
        <v>65725.074574622005</v>
      </c>
      <c r="E126">
        <v>114359.80436649296</v>
      </c>
      <c r="F126">
        <v>43917.217225372588</v>
      </c>
      <c r="G126">
        <v>10000</v>
      </c>
      <c r="H126">
        <v>310584.19472003623</v>
      </c>
      <c r="I126">
        <v>33.064236226620579</v>
      </c>
    </row>
    <row r="127" spans="1:9" x14ac:dyDescent="0.2">
      <c r="A127">
        <v>117</v>
      </c>
      <c r="B127">
        <v>1437454.6576793932</v>
      </c>
      <c r="C127">
        <v>135764.40005264428</v>
      </c>
      <c r="D127">
        <v>42842.57897606476</v>
      </c>
      <c r="E127">
        <v>178892.79894535441</v>
      </c>
      <c r="F127">
        <v>48384.886080832228</v>
      </c>
      <c r="G127">
        <v>10000</v>
      </c>
      <c r="H127">
        <v>395884.66405489569</v>
      </c>
      <c r="I127">
        <v>34.286799098353995</v>
      </c>
    </row>
    <row r="128" spans="1:9" x14ac:dyDescent="0.2">
      <c r="A128">
        <v>118</v>
      </c>
      <c r="B128">
        <v>961479.05096945097</v>
      </c>
      <c r="C128">
        <v>100673.3619169296</v>
      </c>
      <c r="D128">
        <v>110472.83644964288</v>
      </c>
      <c r="E128">
        <v>26459.316863461321</v>
      </c>
      <c r="F128">
        <v>37831.798859778093</v>
      </c>
      <c r="G128">
        <v>10000</v>
      </c>
      <c r="H128">
        <v>265437.31408981187</v>
      </c>
      <c r="I128">
        <v>35.05551150108635</v>
      </c>
    </row>
    <row r="129" spans="1:9" x14ac:dyDescent="0.2">
      <c r="A129">
        <v>119</v>
      </c>
      <c r="B129">
        <v>1384397.0843770697</v>
      </c>
      <c r="C129">
        <v>108737.22564943667</v>
      </c>
      <c r="D129">
        <v>64151.45117693238</v>
      </c>
      <c r="E129">
        <v>170641.23994423897</v>
      </c>
      <c r="F129">
        <v>47813.62430383193</v>
      </c>
      <c r="G129">
        <v>10000</v>
      </c>
      <c r="H129">
        <v>381343.54107444</v>
      </c>
      <c r="I129">
        <v>31.413887596200414</v>
      </c>
    </row>
    <row r="130" spans="1:9" x14ac:dyDescent="0.2">
      <c r="A130">
        <v>120</v>
      </c>
      <c r="B130">
        <v>1331596.4846473704</v>
      </c>
      <c r="C130">
        <v>107136.26226507025</v>
      </c>
      <c r="D130">
        <v>125867.42849537556</v>
      </c>
      <c r="E130">
        <v>100884.82057516287</v>
      </c>
      <c r="F130">
        <v>42984.333732126659</v>
      </c>
      <c r="G130">
        <v>10000</v>
      </c>
      <c r="H130">
        <v>366872.8450677353</v>
      </c>
      <c r="I130">
        <v>32.658112219728856</v>
      </c>
    </row>
    <row r="131" spans="1:9" x14ac:dyDescent="0.2">
      <c r="A131">
        <v>121</v>
      </c>
      <c r="B131">
        <v>912409.45626185741</v>
      </c>
      <c r="C131">
        <v>104255.34108531987</v>
      </c>
      <c r="D131">
        <v>57555.073842899168</v>
      </c>
      <c r="E131">
        <v>60023.276360550211</v>
      </c>
      <c r="F131">
        <v>40155.457594191939</v>
      </c>
      <c r="G131">
        <v>10000</v>
      </c>
      <c r="H131">
        <v>251989.14888296119</v>
      </c>
      <c r="I131">
        <v>45.203622972327466</v>
      </c>
    </row>
    <row r="132" spans="1:9" x14ac:dyDescent="0.2">
      <c r="A132">
        <v>122</v>
      </c>
      <c r="B132">
        <v>1414686.3098877703</v>
      </c>
      <c r="C132">
        <v>138573.34976555884</v>
      </c>
      <c r="D132">
        <v>59791.611915996975</v>
      </c>
      <c r="E132">
        <v>154578.17261523768</v>
      </c>
      <c r="F132">
        <v>46701.565796439536</v>
      </c>
      <c r="G132">
        <v>10000</v>
      </c>
      <c r="H132">
        <v>389644.70009323303</v>
      </c>
      <c r="I132">
        <v>40.563263478495784</v>
      </c>
    </row>
    <row r="133" spans="1:9" x14ac:dyDescent="0.2">
      <c r="A133">
        <v>123</v>
      </c>
      <c r="B133">
        <v>1000761.2898429001</v>
      </c>
      <c r="C133">
        <v>89956.326909542593</v>
      </c>
      <c r="D133">
        <v>87307.929860395481</v>
      </c>
      <c r="E133">
        <v>68216.208840830819</v>
      </c>
      <c r="F133">
        <v>40722.660612057523</v>
      </c>
      <c r="G133">
        <v>10000</v>
      </c>
      <c r="H133">
        <v>276203.12622282642</v>
      </c>
      <c r="I133">
        <v>37.554787206559546</v>
      </c>
    </row>
    <row r="134" spans="1:9" x14ac:dyDescent="0.2">
      <c r="A134">
        <v>124</v>
      </c>
      <c r="B134">
        <v>1605439.7651477773</v>
      </c>
      <c r="C134">
        <v>124414.10117228086</v>
      </c>
      <c r="D134">
        <v>70018.673455015902</v>
      </c>
      <c r="E134">
        <v>207149.30302240199</v>
      </c>
      <c r="F134">
        <v>50341.105593858592</v>
      </c>
      <c r="G134">
        <v>10000</v>
      </c>
      <c r="H134">
        <v>441923.18324355735</v>
      </c>
      <c r="I134">
        <v>37.528332378334923</v>
      </c>
    </row>
    <row r="135" spans="1:9" x14ac:dyDescent="0.2">
      <c r="A135">
        <v>125</v>
      </c>
      <c r="B135">
        <v>1230138.6582229175</v>
      </c>
      <c r="C135">
        <v>82264.570098016047</v>
      </c>
      <c r="D135">
        <v>83422.14944103219</v>
      </c>
      <c r="E135">
        <v>137837.67116691842</v>
      </c>
      <c r="F135">
        <v>45542.608003863577</v>
      </c>
      <c r="G135">
        <v>10000</v>
      </c>
      <c r="H135">
        <v>339066.99870983022</v>
      </c>
      <c r="I135">
        <v>40.129285298493087</v>
      </c>
    </row>
    <row r="136" spans="1:9" x14ac:dyDescent="0.2">
      <c r="A136">
        <v>126</v>
      </c>
      <c r="B136">
        <v>1176385.5268004092</v>
      </c>
      <c r="C136">
        <v>133866.26396975212</v>
      </c>
      <c r="D136">
        <v>116103.01184129641</v>
      </c>
      <c r="E136">
        <v>45234.363334831898</v>
      </c>
      <c r="F136">
        <v>39131.609769334515</v>
      </c>
      <c r="G136">
        <v>10000</v>
      </c>
      <c r="H136">
        <v>324335.24891521491</v>
      </c>
      <c r="I136">
        <v>35.689183785440406</v>
      </c>
    </row>
    <row r="137" spans="1:9" x14ac:dyDescent="0.2">
      <c r="A137">
        <v>127</v>
      </c>
      <c r="B137">
        <v>1349039.4902803858</v>
      </c>
      <c r="C137">
        <v>134605.12302605296</v>
      </c>
      <c r="D137">
        <v>103697.9516382345</v>
      </c>
      <c r="E137">
        <v>100399.51867970632</v>
      </c>
      <c r="F137">
        <v>42950.735908595052</v>
      </c>
      <c r="G137">
        <v>10000</v>
      </c>
      <c r="H137">
        <v>371653.3292525888</v>
      </c>
      <c r="I137">
        <v>35.587506431784831</v>
      </c>
    </row>
    <row r="138" spans="1:9" x14ac:dyDescent="0.2">
      <c r="A138">
        <v>128</v>
      </c>
      <c r="B138">
        <v>1657741.5989555712</v>
      </c>
      <c r="C138">
        <v>101007.55551643355</v>
      </c>
      <c r="D138">
        <v>154144.22707722516</v>
      </c>
      <c r="E138">
        <v>163767.64339488369</v>
      </c>
      <c r="F138">
        <v>47337.759927338098</v>
      </c>
      <c r="G138">
        <v>10000</v>
      </c>
      <c r="H138">
        <v>456257.18591588049</v>
      </c>
      <c r="I138">
        <v>35.219701831630019</v>
      </c>
    </row>
    <row r="139" spans="1:9" x14ac:dyDescent="0.2">
      <c r="A139">
        <v>129</v>
      </c>
      <c r="B139">
        <v>1558526.2459200856</v>
      </c>
      <c r="C139">
        <v>123622.35874553505</v>
      </c>
      <c r="D139">
        <v>151603.83199222255</v>
      </c>
      <c r="E139">
        <v>119562.33556509227</v>
      </c>
      <c r="F139">
        <v>44277.392462198695</v>
      </c>
      <c r="G139">
        <v>10000</v>
      </c>
      <c r="H139">
        <v>429065.91876504855</v>
      </c>
      <c r="I139">
        <v>25.454317741023011</v>
      </c>
    </row>
    <row r="140" spans="1:9" x14ac:dyDescent="0.2">
      <c r="A140">
        <v>130</v>
      </c>
      <c r="B140">
        <v>1432015.4235903721</v>
      </c>
      <c r="C140">
        <v>126337.8825349086</v>
      </c>
      <c r="D140">
        <v>68563.653441503819</v>
      </c>
      <c r="E140">
        <v>162259.11161446894</v>
      </c>
      <c r="F140">
        <v>47233.323111770922</v>
      </c>
      <c r="G140">
        <v>10000</v>
      </c>
      <c r="H140">
        <v>394393.97070265224</v>
      </c>
      <c r="I140">
        <v>29.944356661819644</v>
      </c>
    </row>
    <row r="141" spans="1:9" x14ac:dyDescent="0.2">
      <c r="A141">
        <v>131</v>
      </c>
      <c r="B141">
        <v>1365503.5992717086</v>
      </c>
      <c r="C141">
        <v>91297.764478824538</v>
      </c>
      <c r="D141">
        <v>107272.05369673431</v>
      </c>
      <c r="E141">
        <v>141780.16586955369</v>
      </c>
      <c r="F141">
        <v>45815.549944815255</v>
      </c>
      <c r="G141">
        <v>10000</v>
      </c>
      <c r="H141">
        <v>376165.53398992773</v>
      </c>
      <c r="I141">
        <v>45.325704788796145</v>
      </c>
    </row>
    <row r="142" spans="1:9" x14ac:dyDescent="0.2">
      <c r="A142">
        <v>132</v>
      </c>
      <c r="B142">
        <v>1048700.3278281789</v>
      </c>
      <c r="C142">
        <v>84280.846390655526</v>
      </c>
      <c r="D142">
        <v>123836.17172368569</v>
      </c>
      <c r="E142">
        <v>51648.746954613016</v>
      </c>
      <c r="F142">
        <v>39575.68248147321</v>
      </c>
      <c r="G142">
        <v>10000</v>
      </c>
      <c r="H142">
        <v>289341.44755042746</v>
      </c>
      <c r="I142">
        <v>27.047375820216153</v>
      </c>
    </row>
    <row r="143" spans="1:9" x14ac:dyDescent="0.2">
      <c r="A143">
        <v>133</v>
      </c>
      <c r="B143">
        <v>1497053.2800846235</v>
      </c>
      <c r="C143">
        <v>149249.24859425274</v>
      </c>
      <c r="D143">
        <v>70787.885724184758</v>
      </c>
      <c r="E143">
        <v>155421.37178325938</v>
      </c>
      <c r="F143">
        <v>46759.941123456418</v>
      </c>
      <c r="G143">
        <v>10000</v>
      </c>
      <c r="H143">
        <v>412218.44722515327</v>
      </c>
      <c r="I143">
        <v>29.601032908170325</v>
      </c>
    </row>
    <row r="144" spans="1:9" x14ac:dyDescent="0.2">
      <c r="A144">
        <v>134</v>
      </c>
      <c r="B144">
        <v>1190473.1938143414</v>
      </c>
      <c r="C144">
        <v>107442.29752394298</v>
      </c>
      <c r="D144">
        <v>86785.464905793837</v>
      </c>
      <c r="E144">
        <v>100977.63670499963</v>
      </c>
      <c r="F144">
        <v>42990.759464192284</v>
      </c>
      <c r="G144">
        <v>10000</v>
      </c>
      <c r="H144">
        <v>328196.15859892871</v>
      </c>
      <c r="I144">
        <v>33.978524942893344</v>
      </c>
    </row>
    <row r="145" spans="1:9" x14ac:dyDescent="0.2">
      <c r="A145">
        <v>135</v>
      </c>
      <c r="B145">
        <v>1715273.749024922</v>
      </c>
      <c r="C145">
        <v>150406.00606786384</v>
      </c>
      <c r="D145">
        <v>116467.22759645768</v>
      </c>
      <c r="E145">
        <v>167551.66121689335</v>
      </c>
      <c r="F145">
        <v>47599.73039193877</v>
      </c>
      <c r="G145">
        <v>10000</v>
      </c>
      <c r="H145">
        <v>472024.62527315365</v>
      </c>
      <c r="I145">
        <v>34.607529731716568</v>
      </c>
    </row>
    <row r="146" spans="1:9" x14ac:dyDescent="0.2">
      <c r="A146">
        <v>136</v>
      </c>
      <c r="B146">
        <v>1227436.374847638</v>
      </c>
      <c r="C146">
        <v>88413.829749692391</v>
      </c>
      <c r="D146">
        <v>70237.917527470883</v>
      </c>
      <c r="E146">
        <v>143724.49773982295</v>
      </c>
      <c r="F146">
        <v>45950.157535833896</v>
      </c>
      <c r="G146">
        <v>10000</v>
      </c>
      <c r="H146">
        <v>338326.4025528201</v>
      </c>
      <c r="I146">
        <v>32.002534151491922</v>
      </c>
    </row>
    <row r="147" spans="1:9" x14ac:dyDescent="0.2">
      <c r="A147">
        <v>137</v>
      </c>
      <c r="B147">
        <v>1773111.5244077914</v>
      </c>
      <c r="C147">
        <v>137234.44053806056</v>
      </c>
      <c r="D147">
        <v>122454.24420571751</v>
      </c>
      <c r="E147">
        <v>189095.88680538433</v>
      </c>
      <c r="F147">
        <v>49091.253701911221</v>
      </c>
      <c r="G147">
        <v>10000</v>
      </c>
      <c r="H147">
        <v>487875.82525107358</v>
      </c>
      <c r="I147">
        <v>24.759609189836919</v>
      </c>
    </row>
    <row r="148" spans="1:9" x14ac:dyDescent="0.2">
      <c r="A148">
        <v>138</v>
      </c>
      <c r="B148">
        <v>1739710.6531450967</v>
      </c>
      <c r="C148">
        <v>110353.02480378452</v>
      </c>
      <c r="D148">
        <v>131939.32210243875</v>
      </c>
      <c r="E148">
        <v>196804.59831766452</v>
      </c>
      <c r="F148">
        <v>49624.933729684468</v>
      </c>
      <c r="G148">
        <v>10000</v>
      </c>
      <c r="H148">
        <v>478721.87895357225</v>
      </c>
      <c r="I148">
        <v>48.339139445270533</v>
      </c>
    </row>
    <row r="149" spans="1:9" x14ac:dyDescent="0.2">
      <c r="A149">
        <v>139</v>
      </c>
      <c r="B149">
        <v>1507680.8277228177</v>
      </c>
      <c r="C149">
        <v>118520.77180538306</v>
      </c>
      <c r="D149">
        <v>59453.547201853828</v>
      </c>
      <c r="E149">
        <v>197484.72728060969</v>
      </c>
      <c r="F149">
        <v>49672.019580965287</v>
      </c>
      <c r="G149">
        <v>10000</v>
      </c>
      <c r="H149">
        <v>415131.06586881186</v>
      </c>
      <c r="I149">
        <v>39.428902610026782</v>
      </c>
    </row>
    <row r="150" spans="1:9" x14ac:dyDescent="0.2">
      <c r="A150">
        <v>140</v>
      </c>
      <c r="B150">
        <v>1777342.1123344391</v>
      </c>
      <c r="C150">
        <v>150060.34273575144</v>
      </c>
      <c r="D150">
        <v>160556.83167477872</v>
      </c>
      <c r="E150">
        <v>142549.30111039148</v>
      </c>
      <c r="F150">
        <v>45868.79776918095</v>
      </c>
      <c r="G150">
        <v>10000</v>
      </c>
      <c r="H150">
        <v>489035.2732901026</v>
      </c>
      <c r="I150">
        <v>50.166208292885173</v>
      </c>
    </row>
    <row r="151" spans="1:9" x14ac:dyDescent="0.2">
      <c r="A151">
        <v>141</v>
      </c>
      <c r="B151">
        <v>1106512.1021252191</v>
      </c>
      <c r="C151">
        <v>83249.026180435743</v>
      </c>
      <c r="D151">
        <v>78385.804319406263</v>
      </c>
      <c r="E151">
        <v>109939.49526434485</v>
      </c>
      <c r="F151">
        <v>43611.195825993105</v>
      </c>
      <c r="G151">
        <v>10000</v>
      </c>
      <c r="H151">
        <v>305185.52159017994</v>
      </c>
      <c r="I151">
        <v>33.150058732032065</v>
      </c>
    </row>
    <row r="152" spans="1:9" x14ac:dyDescent="0.2">
      <c r="A152">
        <v>142</v>
      </c>
      <c r="B152">
        <v>1053666.4793053817</v>
      </c>
      <c r="C152">
        <v>127018.89289197369</v>
      </c>
      <c r="D152">
        <v>54505.9058543879</v>
      </c>
      <c r="E152">
        <v>77792.081993048676</v>
      </c>
      <c r="F152">
        <v>41385.605676441824</v>
      </c>
      <c r="G152">
        <v>10000</v>
      </c>
      <c r="H152">
        <v>290702.48641585209</v>
      </c>
      <c r="I152">
        <v>29.282450429829858</v>
      </c>
    </row>
    <row r="153" spans="1:9" x14ac:dyDescent="0.2">
      <c r="A153">
        <v>143</v>
      </c>
      <c r="B153">
        <v>1220354.7840926822</v>
      </c>
      <c r="C153">
        <v>111288.53021719058</v>
      </c>
      <c r="D153">
        <v>136304.99520444474</v>
      </c>
      <c r="E153">
        <v>58726.400537553774</v>
      </c>
      <c r="F153">
        <v>40065.673883369112</v>
      </c>
      <c r="G153">
        <v>10000</v>
      </c>
      <c r="H153">
        <v>336385.59984255821</v>
      </c>
      <c r="I153">
        <v>39.413546338652722</v>
      </c>
    </row>
    <row r="154" spans="1:9" x14ac:dyDescent="0.2">
      <c r="A154">
        <v>144</v>
      </c>
      <c r="B154">
        <v>1473968.221369592</v>
      </c>
      <c r="C154">
        <v>124039.53407195648</v>
      </c>
      <c r="D154">
        <v>175408.86116013842</v>
      </c>
      <c r="E154">
        <v>75234.730957113832</v>
      </c>
      <c r="F154">
        <v>41208.558297030962</v>
      </c>
      <c r="G154">
        <v>10000</v>
      </c>
      <c r="H154">
        <v>405891.68448623974</v>
      </c>
      <c r="I154">
        <v>37.3061146100098</v>
      </c>
    </row>
    <row r="155" spans="1:9" x14ac:dyDescent="0.2">
      <c r="A155">
        <v>145</v>
      </c>
      <c r="B155">
        <v>1148447.719505491</v>
      </c>
      <c r="C155">
        <v>100680.63894490451</v>
      </c>
      <c r="D155">
        <v>38590.052870959487</v>
      </c>
      <c r="E155">
        <v>141604.4500416379</v>
      </c>
      <c r="F155">
        <v>45803.38500288262</v>
      </c>
      <c r="G155">
        <v>10000</v>
      </c>
      <c r="H155">
        <v>316678.52686038456</v>
      </c>
      <c r="I155">
        <v>40.514122411244216</v>
      </c>
    </row>
    <row r="156" spans="1:9" x14ac:dyDescent="0.2">
      <c r="A156">
        <v>146</v>
      </c>
      <c r="B156">
        <v>1326868.8204914154</v>
      </c>
      <c r="C156">
        <v>154805.70383119927</v>
      </c>
      <c r="D156">
        <v>59410.333026166307</v>
      </c>
      <c r="E156">
        <v>117244.22222672983</v>
      </c>
      <c r="F156">
        <v>44116.907692619759</v>
      </c>
      <c r="G156">
        <v>10000</v>
      </c>
      <c r="H156">
        <v>365577.1667767152</v>
      </c>
      <c r="I156">
        <v>31.337263707118893</v>
      </c>
    </row>
    <row r="157" spans="1:9" x14ac:dyDescent="0.2">
      <c r="A157">
        <v>147</v>
      </c>
      <c r="B157">
        <v>1254085.4627277397</v>
      </c>
      <c r="C157">
        <v>99515.236546215237</v>
      </c>
      <c r="D157">
        <v>73970.047663425546</v>
      </c>
      <c r="E157">
        <v>136682.04672617107</v>
      </c>
      <c r="F157">
        <v>45462.603234888767</v>
      </c>
      <c r="G157">
        <v>10000</v>
      </c>
      <c r="H157">
        <v>345629.93417070061</v>
      </c>
      <c r="I157">
        <v>50.931475535518032</v>
      </c>
    </row>
    <row r="158" spans="1:9" x14ac:dyDescent="0.2">
      <c r="A158">
        <v>148</v>
      </c>
      <c r="B158">
        <v>1011921.7451768159</v>
      </c>
      <c r="C158">
        <v>105426.93082839658</v>
      </c>
      <c r="D158">
        <v>51080.505515655517</v>
      </c>
      <c r="E158">
        <v>90489.688139791848</v>
      </c>
      <c r="F158">
        <v>42264.670717370202</v>
      </c>
      <c r="G158">
        <v>10000</v>
      </c>
      <c r="H158">
        <v>279261.79520121415</v>
      </c>
      <c r="I158">
        <v>40.898214688248515</v>
      </c>
    </row>
    <row r="159" spans="1:9" x14ac:dyDescent="0.2">
      <c r="A159">
        <v>149</v>
      </c>
      <c r="B159">
        <v>1144633.8572027092</v>
      </c>
      <c r="C159">
        <v>86951.647236381381</v>
      </c>
      <c r="D159">
        <v>28121.076035607224</v>
      </c>
      <c r="E159">
        <v>163258.08206116594</v>
      </c>
      <c r="F159">
        <v>47302.482604234567</v>
      </c>
      <c r="G159">
        <v>10000</v>
      </c>
      <c r="H159">
        <v>315633.2879373891</v>
      </c>
      <c r="I159">
        <v>43.809956235644336</v>
      </c>
    </row>
    <row r="160" spans="1:9" x14ac:dyDescent="0.2">
      <c r="A160">
        <v>150</v>
      </c>
      <c r="B160">
        <v>1051267.531405543</v>
      </c>
      <c r="C160">
        <v>105050.07985045444</v>
      </c>
      <c r="D160">
        <v>93796.776364194055</v>
      </c>
      <c r="E160">
        <v>60976.703047579686</v>
      </c>
      <c r="F160">
        <v>40221.464057140132</v>
      </c>
      <c r="G160">
        <v>10000</v>
      </c>
      <c r="H160">
        <v>290045.02331936831</v>
      </c>
      <c r="I160">
        <v>35.916093493773957</v>
      </c>
    </row>
    <row r="161" spans="1:9" x14ac:dyDescent="0.2">
      <c r="A161">
        <v>151</v>
      </c>
      <c r="B161">
        <v>1170209.6070476987</v>
      </c>
      <c r="C161">
        <v>87650.545645360355</v>
      </c>
      <c r="D161">
        <v>91032.765367702494</v>
      </c>
      <c r="E161">
        <v>110321.6906847644</v>
      </c>
      <c r="F161">
        <v>43637.65550894523</v>
      </c>
      <c r="G161">
        <v>10000</v>
      </c>
      <c r="H161">
        <v>322642.65720677248</v>
      </c>
      <c r="I161">
        <v>28.895783065330086</v>
      </c>
    </row>
    <row r="162" spans="1:9" x14ac:dyDescent="0.2">
      <c r="A162">
        <v>152</v>
      </c>
      <c r="B162">
        <v>1540836.5462181114</v>
      </c>
      <c r="C162">
        <v>129497.58447076358</v>
      </c>
      <c r="D162">
        <v>149002.16784543174</v>
      </c>
      <c r="E162">
        <v>111966.5426473003</v>
      </c>
      <c r="F162">
        <v>43751.529875582324</v>
      </c>
      <c r="G162">
        <v>10000</v>
      </c>
      <c r="H162">
        <v>424217.82483907795</v>
      </c>
      <c r="I162">
        <v>31.095166269974097</v>
      </c>
    </row>
    <row r="163" spans="1:9" x14ac:dyDescent="0.2">
      <c r="A163">
        <v>153</v>
      </c>
      <c r="B163">
        <v>1280907.1810793418</v>
      </c>
      <c r="C163">
        <v>117911.025865376</v>
      </c>
      <c r="D163">
        <v>126665.82034645072</v>
      </c>
      <c r="E163">
        <v>77068.424880898645</v>
      </c>
      <c r="F163">
        <v>41335.506337908373</v>
      </c>
      <c r="G163">
        <v>10000</v>
      </c>
      <c r="H163">
        <v>352980.77743063372</v>
      </c>
      <c r="I163">
        <v>34.751747197124416</v>
      </c>
    </row>
    <row r="164" spans="1:9" x14ac:dyDescent="0.2">
      <c r="A164">
        <v>154</v>
      </c>
      <c r="B164">
        <v>1062866.1699474319</v>
      </c>
      <c r="C164">
        <v>95936.637365200033</v>
      </c>
      <c r="D164">
        <v>91000.825716835578</v>
      </c>
      <c r="E164">
        <v>75087.924304233995</v>
      </c>
      <c r="F164">
        <v>41198.394759523893</v>
      </c>
      <c r="G164">
        <v>10000</v>
      </c>
      <c r="H164">
        <v>293223.78214579349</v>
      </c>
      <c r="I164">
        <v>40.767062199369718</v>
      </c>
    </row>
    <row r="165" spans="1:9" x14ac:dyDescent="0.2">
      <c r="A165">
        <v>155</v>
      </c>
      <c r="B165">
        <v>1115906.1776493376</v>
      </c>
      <c r="C165">
        <v>104184.94237066415</v>
      </c>
      <c r="D165">
        <v>71014.773482600169</v>
      </c>
      <c r="E165">
        <v>99660.782551885786</v>
      </c>
      <c r="F165">
        <v>42899.592638207476</v>
      </c>
      <c r="G165">
        <v>10000</v>
      </c>
      <c r="H165">
        <v>307760.09104335762</v>
      </c>
      <c r="I165">
        <v>28.881876367520711</v>
      </c>
    </row>
    <row r="166" spans="1:9" x14ac:dyDescent="0.2">
      <c r="A166">
        <v>156</v>
      </c>
      <c r="B166">
        <v>1471548.3290712782</v>
      </c>
      <c r="C166">
        <v>133876.55344896991</v>
      </c>
      <c r="D166">
        <v>74932.134009638656</v>
      </c>
      <c r="E166">
        <v>159385.41870338478</v>
      </c>
      <c r="F166">
        <v>47034.375141003562</v>
      </c>
      <c r="G166">
        <v>10000</v>
      </c>
      <c r="H166">
        <v>405228.48130299692</v>
      </c>
      <c r="I166">
        <v>38.837723059941219</v>
      </c>
    </row>
    <row r="167" spans="1:9" x14ac:dyDescent="0.2">
      <c r="A167">
        <v>157</v>
      </c>
      <c r="B167">
        <v>1274142.2473710892</v>
      </c>
      <c r="C167">
        <v>114512.84023802791</v>
      </c>
      <c r="D167">
        <v>87722.345847617253</v>
      </c>
      <c r="E167">
        <v>114934.56434551709</v>
      </c>
      <c r="F167">
        <v>43957.008300843496</v>
      </c>
      <c r="G167">
        <v>10000</v>
      </c>
      <c r="H167">
        <v>351126.75873200572</v>
      </c>
      <c r="I167">
        <v>25.662547112299869</v>
      </c>
    </row>
    <row r="168" spans="1:9" x14ac:dyDescent="0.2">
      <c r="A168">
        <v>158</v>
      </c>
      <c r="B168">
        <v>1163266.2770821853</v>
      </c>
      <c r="C168">
        <v>99860.928000008455</v>
      </c>
      <c r="D168">
        <v>144033.29088524531</v>
      </c>
      <c r="E168">
        <v>47553.371315999619</v>
      </c>
      <c r="F168">
        <v>39292.156475723052</v>
      </c>
      <c r="G168">
        <v>10000</v>
      </c>
      <c r="H168">
        <v>320739.74667697644</v>
      </c>
      <c r="I168">
        <v>39.361567277968661</v>
      </c>
    </row>
    <row r="169" spans="1:9" x14ac:dyDescent="0.2">
      <c r="A169">
        <v>159</v>
      </c>
      <c r="B169">
        <v>1078637.8864834956</v>
      </c>
      <c r="C169">
        <v>135353.24402098139</v>
      </c>
      <c r="D169">
        <v>100644.362176547</v>
      </c>
      <c r="E169">
        <v>33246.912160000626</v>
      </c>
      <c r="F169">
        <v>38301.709303384654</v>
      </c>
      <c r="G169">
        <v>10000</v>
      </c>
      <c r="H169">
        <v>297546.22766091366</v>
      </c>
      <c r="I169">
        <v>37.615373513227894</v>
      </c>
    </row>
    <row r="170" spans="1:9" x14ac:dyDescent="0.2">
      <c r="A170">
        <v>160</v>
      </c>
      <c r="B170">
        <v>1320226.828063814</v>
      </c>
      <c r="C170">
        <v>85159.680755236492</v>
      </c>
      <c r="D170">
        <v>86222.857711577453</v>
      </c>
      <c r="E170">
        <v>155601.86637667927</v>
      </c>
      <c r="F170">
        <v>46772.436903000875</v>
      </c>
      <c r="G170">
        <v>10000</v>
      </c>
      <c r="H170">
        <v>363756.84174649412</v>
      </c>
      <c r="I170">
        <v>41.093454740236751</v>
      </c>
    </row>
    <row r="171" spans="1:9" x14ac:dyDescent="0.2">
      <c r="A171">
        <v>161</v>
      </c>
      <c r="B171">
        <v>903002.15817524889</v>
      </c>
      <c r="C171">
        <v>100972.30163344469</v>
      </c>
      <c r="D171">
        <v>84142.122733312834</v>
      </c>
      <c r="E171">
        <v>35816.899727007316</v>
      </c>
      <c r="F171">
        <v>38479.631519562041</v>
      </c>
      <c r="G171">
        <v>10000</v>
      </c>
      <c r="H171">
        <v>249410.95561332686</v>
      </c>
      <c r="I171">
        <v>49.437063937509684</v>
      </c>
    </row>
    <row r="172" spans="1:9" x14ac:dyDescent="0.2">
      <c r="A172">
        <v>162</v>
      </c>
      <c r="B172">
        <v>1308812.9339369074</v>
      </c>
      <c r="C172">
        <v>108491.05227305638</v>
      </c>
      <c r="D172">
        <v>44207.771495402128</v>
      </c>
      <c r="E172">
        <v>170150.25756268064</v>
      </c>
      <c r="F172">
        <v>47779.63321587789</v>
      </c>
      <c r="G172">
        <v>10000</v>
      </c>
      <c r="H172">
        <v>360628.71454701701</v>
      </c>
      <c r="I172">
        <v>36.34894723526623</v>
      </c>
    </row>
    <row r="173" spans="1:9" x14ac:dyDescent="0.2">
      <c r="A173">
        <v>163</v>
      </c>
      <c r="B173">
        <v>1451148.9554784733</v>
      </c>
      <c r="C173">
        <v>106031.41721283074</v>
      </c>
      <c r="D173">
        <v>87578.375598881612</v>
      </c>
      <c r="E173">
        <v>168371.48548411397</v>
      </c>
      <c r="F173">
        <v>47656.487456592506</v>
      </c>
      <c r="G173">
        <v>10000</v>
      </c>
      <c r="H173">
        <v>399637.76575241884</v>
      </c>
      <c r="I173">
        <v>25.496500465058091</v>
      </c>
    </row>
    <row r="174" spans="1:9" x14ac:dyDescent="0.2">
      <c r="A174">
        <v>164</v>
      </c>
      <c r="B174">
        <v>850985.0608484085</v>
      </c>
      <c r="C174">
        <v>76114.983281844892</v>
      </c>
      <c r="D174">
        <v>33772.150215751695</v>
      </c>
      <c r="E174">
        <v>92840.440120588901</v>
      </c>
      <c r="F174">
        <v>42427.415085271539</v>
      </c>
      <c r="G174">
        <v>10000</v>
      </c>
      <c r="H174">
        <v>235154.988703457</v>
      </c>
      <c r="I174">
        <v>34.934544035385969</v>
      </c>
    </row>
    <row r="175" spans="1:9" x14ac:dyDescent="0.2">
      <c r="A175">
        <v>165</v>
      </c>
      <c r="B175">
        <v>1192957.2975127031</v>
      </c>
      <c r="C175">
        <v>134122.68894498941</v>
      </c>
      <c r="D175">
        <v>113605.82935705382</v>
      </c>
      <c r="E175">
        <v>51577.67905904058</v>
      </c>
      <c r="F175">
        <v>39570.762396395119</v>
      </c>
      <c r="G175">
        <v>10000</v>
      </c>
      <c r="H175">
        <v>328876.95975747891</v>
      </c>
      <c r="I175">
        <v>31.199747776540431</v>
      </c>
    </row>
    <row r="176" spans="1:9" x14ac:dyDescent="0.2">
      <c r="A176">
        <v>166</v>
      </c>
      <c r="B176">
        <v>1092683.3415923952</v>
      </c>
      <c r="C176">
        <v>97797.861254311472</v>
      </c>
      <c r="D176">
        <v>125797.92699204799</v>
      </c>
      <c r="E176">
        <v>48445.837758684742</v>
      </c>
      <c r="F176">
        <v>39353.942614062791</v>
      </c>
      <c r="G176">
        <v>10000</v>
      </c>
      <c r="H176">
        <v>301395.56861910701</v>
      </c>
      <c r="I176">
        <v>35.452734847345468</v>
      </c>
    </row>
    <row r="177" spans="1:9" x14ac:dyDescent="0.2">
      <c r="A177">
        <v>167</v>
      </c>
      <c r="B177">
        <v>1227319.4490140309</v>
      </c>
      <c r="C177">
        <v>163951.21859656691</v>
      </c>
      <c r="D177">
        <v>74226.414021674922</v>
      </c>
      <c r="E177">
        <v>69317.80024582849</v>
      </c>
      <c r="F177">
        <v>40798.924632403512</v>
      </c>
      <c r="G177">
        <v>10000</v>
      </c>
      <c r="H177">
        <v>338294.35749647382</v>
      </c>
      <c r="I177">
        <v>45.760474318290555</v>
      </c>
    </row>
    <row r="178" spans="1:9" x14ac:dyDescent="0.2">
      <c r="A178">
        <v>168</v>
      </c>
      <c r="B178">
        <v>1028554.8892197665</v>
      </c>
      <c r="C178">
        <v>98148.450229216221</v>
      </c>
      <c r="D178">
        <v>47300.572651681687</v>
      </c>
      <c r="E178">
        <v>105095.46354398019</v>
      </c>
      <c r="F178">
        <v>43275.839783814008</v>
      </c>
      <c r="G178">
        <v>10000</v>
      </c>
      <c r="H178">
        <v>283820.32620869216</v>
      </c>
      <c r="I178">
        <v>27.158531234721707</v>
      </c>
    </row>
    <row r="179" spans="1:9" x14ac:dyDescent="0.2">
      <c r="A179">
        <v>169</v>
      </c>
      <c r="B179">
        <v>1472839.0281141</v>
      </c>
      <c r="C179">
        <v>119527.4756455679</v>
      </c>
      <c r="D179">
        <v>168445.17300478285</v>
      </c>
      <c r="E179">
        <v>85678.011023278726</v>
      </c>
      <c r="F179">
        <v>41931.554609303916</v>
      </c>
      <c r="G179">
        <v>10000</v>
      </c>
      <c r="H179">
        <v>405582.21428293339</v>
      </c>
      <c r="I179">
        <v>25.10918892259749</v>
      </c>
    </row>
    <row r="180" spans="1:9" x14ac:dyDescent="0.2">
      <c r="A180">
        <v>170</v>
      </c>
      <c r="B180">
        <v>2026720.5767147392</v>
      </c>
      <c r="C180">
        <v>158548.95190212407</v>
      </c>
      <c r="D180">
        <v>150684.4288788157</v>
      </c>
      <c r="E180">
        <v>207763.68745465073</v>
      </c>
      <c r="F180">
        <v>50383.639900706585</v>
      </c>
      <c r="G180">
        <v>10000</v>
      </c>
      <c r="H180">
        <v>557380.70813629706</v>
      </c>
      <c r="I180">
        <v>26.85059380278318</v>
      </c>
    </row>
    <row r="181" spans="1:9" x14ac:dyDescent="0.2">
      <c r="A181">
        <v>171</v>
      </c>
      <c r="B181">
        <v>1462266.5365833004</v>
      </c>
      <c r="C181">
        <v>115490.71291025431</v>
      </c>
      <c r="D181">
        <v>47210.171133890792</v>
      </c>
      <c r="E181">
        <v>200128.73422685231</v>
      </c>
      <c r="F181">
        <v>49855.066215705156</v>
      </c>
      <c r="G181">
        <v>10000</v>
      </c>
      <c r="H181">
        <v>402684.68448670255</v>
      </c>
      <c r="I181">
        <v>28.375725641758592</v>
      </c>
    </row>
    <row r="182" spans="1:9" x14ac:dyDescent="0.2">
      <c r="A182">
        <v>172</v>
      </c>
      <c r="B182">
        <v>1164108.2496456797</v>
      </c>
      <c r="C182">
        <v>110424.46147939427</v>
      </c>
      <c r="D182">
        <v>40178.861166684408</v>
      </c>
      <c r="E182">
        <v>135019.66254210405</v>
      </c>
      <c r="F182">
        <v>45347.515099068747</v>
      </c>
      <c r="G182">
        <v>10000</v>
      </c>
      <c r="H182">
        <v>320970.50028725149</v>
      </c>
      <c r="I182">
        <v>35.28663833178269</v>
      </c>
    </row>
    <row r="183" spans="1:9" x14ac:dyDescent="0.2">
      <c r="A183">
        <v>173</v>
      </c>
      <c r="B183">
        <v>1671259.099025253</v>
      </c>
      <c r="C183">
        <v>110110.9694061215</v>
      </c>
      <c r="D183">
        <v>114485.7450528613</v>
      </c>
      <c r="E183">
        <v>195809.10449422957</v>
      </c>
      <c r="F183">
        <v>49556.014926523581</v>
      </c>
      <c r="G183">
        <v>10000</v>
      </c>
      <c r="H183">
        <v>459961.8338797359</v>
      </c>
      <c r="I183">
        <v>49.075479075767184</v>
      </c>
    </row>
    <row r="184" spans="1:9" x14ac:dyDescent="0.2">
      <c r="A184">
        <v>174</v>
      </c>
      <c r="B184">
        <v>1487956.7452501869</v>
      </c>
      <c r="C184">
        <v>141729.33040860214</v>
      </c>
      <c r="D184">
        <v>169503.33459322283</v>
      </c>
      <c r="E184">
        <v>67798.982015720627</v>
      </c>
      <c r="F184">
        <v>40693.775678011421</v>
      </c>
      <c r="G184">
        <v>10000</v>
      </c>
      <c r="H184">
        <v>409725.422695557</v>
      </c>
      <c r="I184">
        <v>32.710943455234982</v>
      </c>
    </row>
    <row r="185" spans="1:9" x14ac:dyDescent="0.2">
      <c r="A185">
        <v>175</v>
      </c>
      <c r="B185">
        <v>1351741.209247604</v>
      </c>
      <c r="C185">
        <v>112561.26025056363</v>
      </c>
      <c r="D185">
        <v>79011.832673660479</v>
      </c>
      <c r="E185">
        <v>144796.31736873215</v>
      </c>
      <c r="F185">
        <v>46024.360433219917</v>
      </c>
      <c r="G185">
        <v>10000</v>
      </c>
      <c r="H185">
        <v>372393.77072617621</v>
      </c>
      <c r="I185">
        <v>38.772114634009561</v>
      </c>
    </row>
    <row r="186" spans="1:9" x14ac:dyDescent="0.2">
      <c r="A186">
        <v>176</v>
      </c>
      <c r="B186">
        <v>785042.07492156792</v>
      </c>
      <c r="C186">
        <v>100931.39597547601</v>
      </c>
      <c r="D186">
        <v>40786.336138101222</v>
      </c>
      <c r="E186">
        <v>46168.440817815113</v>
      </c>
      <c r="F186">
        <v>39196.276672002583</v>
      </c>
      <c r="G186">
        <v>10000</v>
      </c>
      <c r="H186">
        <v>217082.44960339495</v>
      </c>
      <c r="I186">
        <v>39.261089835947701</v>
      </c>
    </row>
    <row r="187" spans="1:9" x14ac:dyDescent="0.2">
      <c r="A187">
        <v>177</v>
      </c>
      <c r="B187">
        <v>1422474.2974065377</v>
      </c>
      <c r="C187">
        <v>97731.833518374333</v>
      </c>
      <c r="D187">
        <v>75388.313352498299</v>
      </c>
      <c r="E187">
        <v>180184.6325070218</v>
      </c>
      <c r="F187">
        <v>48474.320712024586</v>
      </c>
      <c r="G187">
        <v>10000</v>
      </c>
      <c r="H187">
        <v>391779.10008991905</v>
      </c>
      <c r="I187">
        <v>43.477264853988615</v>
      </c>
    </row>
    <row r="188" spans="1:9" x14ac:dyDescent="0.2">
      <c r="A188">
        <v>178</v>
      </c>
      <c r="B188">
        <v>1283235.3842980887</v>
      </c>
      <c r="C188">
        <v>127304.10297373837</v>
      </c>
      <c r="D188">
        <v>157172.12240382945</v>
      </c>
      <c r="E188">
        <v>40349.219162509413</v>
      </c>
      <c r="F188">
        <v>38793.407480481423</v>
      </c>
      <c r="G188">
        <v>10000</v>
      </c>
      <c r="H188">
        <v>353618.85202055867</v>
      </c>
      <c r="I188">
        <v>37.711123754239296</v>
      </c>
    </row>
    <row r="189" spans="1:9" x14ac:dyDescent="0.2">
      <c r="A189">
        <v>179</v>
      </c>
      <c r="B189">
        <v>1387160.378545037</v>
      </c>
      <c r="C189">
        <v>96473.196022582211</v>
      </c>
      <c r="D189">
        <v>65214.624009939151</v>
      </c>
      <c r="E189">
        <v>181825.14345872114</v>
      </c>
      <c r="F189">
        <v>48587.894547142234</v>
      </c>
      <c r="G189">
        <v>10000</v>
      </c>
      <c r="H189">
        <v>382100.8580383847</v>
      </c>
      <c r="I189">
        <v>41.276499393005722</v>
      </c>
    </row>
    <row r="190" spans="1:9" x14ac:dyDescent="0.2">
      <c r="A190">
        <v>180</v>
      </c>
      <c r="B190">
        <v>1136658.8635894612</v>
      </c>
      <c r="C190">
        <v>95973.527672095617</v>
      </c>
      <c r="D190">
        <v>144145.85282401697</v>
      </c>
      <c r="E190">
        <v>44263.836523147031</v>
      </c>
      <c r="F190">
        <v>39064.419451602487</v>
      </c>
      <c r="G190">
        <v>10000</v>
      </c>
      <c r="H190">
        <v>313447.63647086208</v>
      </c>
      <c r="I190">
        <v>44.77217720011825</v>
      </c>
    </row>
    <row r="191" spans="1:9" x14ac:dyDescent="0.2">
      <c r="A191">
        <v>181</v>
      </c>
      <c r="B191">
        <v>1386203.9618392247</v>
      </c>
      <c r="C191">
        <v>125756.36462162121</v>
      </c>
      <c r="D191">
        <v>77251.123050907743</v>
      </c>
      <c r="E191">
        <v>142935.70315900198</v>
      </c>
      <c r="F191">
        <v>45895.5486802386</v>
      </c>
      <c r="G191">
        <v>10000</v>
      </c>
      <c r="H191">
        <v>381838.73951176956</v>
      </c>
      <c r="I191">
        <v>25.564623315040357</v>
      </c>
    </row>
    <row r="192" spans="1:9" x14ac:dyDescent="0.2">
      <c r="A192">
        <v>182</v>
      </c>
      <c r="B192">
        <v>1431269.189531707</v>
      </c>
      <c r="C192">
        <v>98885.852257284292</v>
      </c>
      <c r="D192">
        <v>87997.961696481376</v>
      </c>
      <c r="E192">
        <v>169566.42733018522</v>
      </c>
      <c r="F192">
        <v>47739.214199782051</v>
      </c>
      <c r="G192">
        <v>10000</v>
      </c>
      <c r="H192">
        <v>394189.45548373292</v>
      </c>
      <c r="I192">
        <v>26.023887712969128</v>
      </c>
    </row>
    <row r="193" spans="1:9" x14ac:dyDescent="0.2">
      <c r="A193">
        <v>183</v>
      </c>
      <c r="B193">
        <v>1374524.8931739095</v>
      </c>
      <c r="C193">
        <v>113972.81994983747</v>
      </c>
      <c r="D193">
        <v>60053.775568369798</v>
      </c>
      <c r="E193">
        <v>167046.57907172968</v>
      </c>
      <c r="F193">
        <v>47564.763166504359</v>
      </c>
      <c r="G193">
        <v>10000</v>
      </c>
      <c r="H193">
        <v>378637.9377564413</v>
      </c>
      <c r="I193">
        <v>40.304696069113128</v>
      </c>
    </row>
    <row r="194" spans="1:9" x14ac:dyDescent="0.2">
      <c r="A194">
        <v>184</v>
      </c>
      <c r="B194">
        <v>1036033.6477614469</v>
      </c>
      <c r="C194">
        <v>95436.328425445739</v>
      </c>
      <c r="D194">
        <v>101123.11565846599</v>
      </c>
      <c r="E194">
        <v>59211.290669422611</v>
      </c>
      <c r="F194">
        <v>40099.243200190795</v>
      </c>
      <c r="G194">
        <v>10000</v>
      </c>
      <c r="H194">
        <v>285869.97795352509</v>
      </c>
      <c r="I194">
        <v>44.643743622893481</v>
      </c>
    </row>
    <row r="195" spans="1:9" x14ac:dyDescent="0.2">
      <c r="A195">
        <v>185</v>
      </c>
      <c r="B195">
        <v>1245261.0808801325</v>
      </c>
      <c r="C195">
        <v>121587.69711862314</v>
      </c>
      <c r="D195">
        <v>42641.309542970645</v>
      </c>
      <c r="E195">
        <v>143077.14898685864</v>
      </c>
      <c r="F195">
        <v>45905.3410837056</v>
      </c>
      <c r="G195">
        <v>10000</v>
      </c>
      <c r="H195">
        <v>343211.49673215806</v>
      </c>
      <c r="I195">
        <v>46.543292543128317</v>
      </c>
    </row>
    <row r="196" spans="1:9" x14ac:dyDescent="0.2">
      <c r="A196">
        <v>186</v>
      </c>
      <c r="B196">
        <v>1357431.3467178117</v>
      </c>
      <c r="C196">
        <v>111032.81128905543</v>
      </c>
      <c r="D196">
        <v>58477.36525273876</v>
      </c>
      <c r="E196">
        <v>166889.18429019218</v>
      </c>
      <c r="F196">
        <v>47553.866604705618</v>
      </c>
      <c r="G196">
        <v>10000</v>
      </c>
      <c r="H196">
        <v>373953.22743669205</v>
      </c>
      <c r="I196">
        <v>48.019258208197378</v>
      </c>
    </row>
    <row r="197" spans="1:9" x14ac:dyDescent="0.2">
      <c r="A197">
        <v>187</v>
      </c>
      <c r="B197">
        <v>1418755.769801463</v>
      </c>
      <c r="C197">
        <v>156558.22397138723</v>
      </c>
      <c r="D197">
        <v>55229.286611695185</v>
      </c>
      <c r="E197">
        <v>143067.78546657198</v>
      </c>
      <c r="F197">
        <v>45904.692839993448</v>
      </c>
      <c r="G197">
        <v>10000</v>
      </c>
      <c r="H197">
        <v>390759.98888964782</v>
      </c>
      <c r="I197">
        <v>35.143171898116613</v>
      </c>
    </row>
    <row r="198" spans="1:9" x14ac:dyDescent="0.2">
      <c r="A198">
        <v>188</v>
      </c>
      <c r="B198">
        <v>1534611.8254216369</v>
      </c>
      <c r="C198">
        <v>148497.85066103723</v>
      </c>
      <c r="D198">
        <v>66487.267779117406</v>
      </c>
      <c r="E198">
        <v>169773.21018901537</v>
      </c>
      <c r="F198">
        <v>47753.529936162602</v>
      </c>
      <c r="G198">
        <v>10000</v>
      </c>
      <c r="H198">
        <v>422511.8585653326</v>
      </c>
      <c r="I198">
        <v>26.91410074687921</v>
      </c>
    </row>
    <row r="199" spans="1:9" x14ac:dyDescent="0.2">
      <c r="A199">
        <v>189</v>
      </c>
      <c r="B199">
        <v>1133011.6948902092</v>
      </c>
      <c r="C199">
        <v>96997.845819493188</v>
      </c>
      <c r="D199">
        <v>72588.688857864676</v>
      </c>
      <c r="E199">
        <v>109294.9724222754</v>
      </c>
      <c r="F199">
        <v>43566.575013849841</v>
      </c>
      <c r="G199">
        <v>10000</v>
      </c>
      <c r="H199">
        <v>312448.08211348311</v>
      </c>
      <c r="I199">
        <v>35.91777277931677</v>
      </c>
    </row>
    <row r="200" spans="1:9" x14ac:dyDescent="0.2">
      <c r="A200">
        <v>190</v>
      </c>
      <c r="B200">
        <v>1148765.4771999542</v>
      </c>
      <c r="C200">
        <v>144885.53629180795</v>
      </c>
      <c r="D200">
        <v>92369.945682891819</v>
      </c>
      <c r="E200">
        <v>50045.445832756566</v>
      </c>
      <c r="F200">
        <v>39464.684711498528</v>
      </c>
      <c r="G200">
        <v>10000</v>
      </c>
      <c r="H200">
        <v>316765.61251895491</v>
      </c>
      <c r="I200">
        <v>38.466779416401685</v>
      </c>
    </row>
    <row r="201" spans="1:9" x14ac:dyDescent="0.2">
      <c r="A201">
        <v>191</v>
      </c>
      <c r="B201">
        <v>879609.60192811373</v>
      </c>
      <c r="C201">
        <v>97580.388406411017</v>
      </c>
      <c r="D201">
        <v>72408.535428410876</v>
      </c>
      <c r="E201">
        <v>43967.117918555145</v>
      </c>
      <c r="F201">
        <v>39043.877394361509</v>
      </c>
      <c r="G201">
        <v>10000</v>
      </c>
      <c r="H201">
        <v>242999.91914773858</v>
      </c>
      <c r="I201">
        <v>35.952880133845689</v>
      </c>
    </row>
    <row r="202" spans="1:9" x14ac:dyDescent="0.2">
      <c r="A202">
        <v>192</v>
      </c>
      <c r="B202">
        <v>1307875.3035299815</v>
      </c>
      <c r="C202">
        <v>100587.55020565681</v>
      </c>
      <c r="D202">
        <v>61858.474919406282</v>
      </c>
      <c r="E202">
        <v>160793.83840620623</v>
      </c>
      <c r="F202">
        <v>47131.881120429665</v>
      </c>
      <c r="G202">
        <v>10000</v>
      </c>
      <c r="H202">
        <v>360371.74465169897</v>
      </c>
      <c r="I202">
        <v>52.995823654072943</v>
      </c>
    </row>
    <row r="203" spans="1:9" x14ac:dyDescent="0.2">
      <c r="A203">
        <v>193</v>
      </c>
      <c r="B203">
        <v>1149397.0573541708</v>
      </c>
      <c r="C203">
        <v>145741.99079977826</v>
      </c>
      <c r="D203">
        <v>49402.770101633163</v>
      </c>
      <c r="E203">
        <v>89591.458821353968</v>
      </c>
      <c r="F203">
        <v>42202.485610709125</v>
      </c>
      <c r="G203">
        <v>10000</v>
      </c>
      <c r="H203">
        <v>316938.7053334745</v>
      </c>
      <c r="I203">
        <v>35.41386152744883</v>
      </c>
    </row>
    <row r="204" spans="1:9" x14ac:dyDescent="0.2">
      <c r="A204">
        <v>194</v>
      </c>
      <c r="B204">
        <v>1464950.6895454745</v>
      </c>
      <c r="C204">
        <v>95399.274812982185</v>
      </c>
      <c r="D204">
        <v>97173.775106684421</v>
      </c>
      <c r="E204">
        <v>172878.73410136008</v>
      </c>
      <c r="F204">
        <v>47968.527745478779</v>
      </c>
      <c r="G204">
        <v>10000</v>
      </c>
      <c r="H204">
        <v>403420.31176650547</v>
      </c>
      <c r="I204">
        <v>42.021643036618443</v>
      </c>
    </row>
    <row r="205" spans="1:9" x14ac:dyDescent="0.2">
      <c r="A205">
        <v>195</v>
      </c>
      <c r="B205">
        <v>1345133.1616311627</v>
      </c>
      <c r="C205">
        <v>131252.91672174743</v>
      </c>
      <c r="D205">
        <v>167932.18301802222</v>
      </c>
      <c r="E205">
        <v>42458.23285556717</v>
      </c>
      <c r="F205">
        <v>38939.416120770031</v>
      </c>
      <c r="G205">
        <v>10000</v>
      </c>
      <c r="H205">
        <v>370582.74871610687</v>
      </c>
      <c r="I205">
        <v>28.184815624385706</v>
      </c>
    </row>
    <row r="206" spans="1:9" x14ac:dyDescent="0.2">
      <c r="A206">
        <v>196</v>
      </c>
      <c r="B206">
        <v>1337594.0208563139</v>
      </c>
      <c r="C206">
        <v>120560.77244622829</v>
      </c>
      <c r="D206">
        <v>133864.71244187644</v>
      </c>
      <c r="E206">
        <v>82387.32561407618</v>
      </c>
      <c r="F206">
        <v>41703.737927128343</v>
      </c>
      <c r="G206">
        <v>10000</v>
      </c>
      <c r="H206">
        <v>368516.54842930922</v>
      </c>
      <c r="I206">
        <v>41.322353892731627</v>
      </c>
    </row>
    <row r="207" spans="1:9" x14ac:dyDescent="0.2">
      <c r="A207">
        <v>197</v>
      </c>
      <c r="B207">
        <v>1542588.1287534041</v>
      </c>
      <c r="C207">
        <v>161408.01694305165</v>
      </c>
      <c r="D207">
        <v>36123.37972443107</v>
      </c>
      <c r="E207">
        <v>188141.30503802982</v>
      </c>
      <c r="F207">
        <v>49025.167271863604</v>
      </c>
      <c r="G207">
        <v>10000</v>
      </c>
      <c r="H207">
        <v>424697.8689773762</v>
      </c>
      <c r="I207">
        <v>41.170249867128014</v>
      </c>
    </row>
    <row r="208" spans="1:9" x14ac:dyDescent="0.2">
      <c r="A208">
        <v>198</v>
      </c>
      <c r="B208">
        <v>1705815.6493849095</v>
      </c>
      <c r="C208">
        <v>138977.77869123808</v>
      </c>
      <c r="D208">
        <v>90640.956759551016</v>
      </c>
      <c r="E208">
        <v>199969.71643023149</v>
      </c>
      <c r="F208">
        <v>49844.057291323719</v>
      </c>
      <c r="G208">
        <v>10000</v>
      </c>
      <c r="H208">
        <v>469432.50917234429</v>
      </c>
      <c r="I208">
        <v>44.453650185646509</v>
      </c>
    </row>
    <row r="209" spans="1:9" x14ac:dyDescent="0.2">
      <c r="A209">
        <v>199</v>
      </c>
      <c r="B209">
        <v>1100909.6643963826</v>
      </c>
      <c r="C209">
        <v>136056.05587982424</v>
      </c>
      <c r="D209">
        <v>58305.220464292936</v>
      </c>
      <c r="E209">
        <v>77896.022257566394</v>
      </c>
      <c r="F209">
        <v>41392.80154090844</v>
      </c>
      <c r="G209">
        <v>10000</v>
      </c>
      <c r="H209">
        <v>303650.10014259204</v>
      </c>
      <c r="I209">
        <v>38.017085759369863</v>
      </c>
    </row>
    <row r="210" spans="1:9" x14ac:dyDescent="0.2">
      <c r="A210">
        <v>200</v>
      </c>
      <c r="B210">
        <v>1324254.3990848514</v>
      </c>
      <c r="C210">
        <v>116643.31456508646</v>
      </c>
      <c r="D210">
        <v>83704.926779107642</v>
      </c>
      <c r="E210">
        <v>129543.97963932219</v>
      </c>
      <c r="F210">
        <v>44968.429359645379</v>
      </c>
      <c r="G210">
        <v>10000</v>
      </c>
      <c r="H210">
        <v>364860.65034316166</v>
      </c>
      <c r="I210">
        <v>31.45622877052816</v>
      </c>
    </row>
    <row r="211" spans="1:9" x14ac:dyDescent="0.2">
      <c r="A211">
        <v>201</v>
      </c>
      <c r="B211">
        <v>1168921.3314951747</v>
      </c>
      <c r="C211">
        <v>119475.61264154325</v>
      </c>
      <c r="D211">
        <v>117709.36028992337</v>
      </c>
      <c r="E211">
        <v>55277.69793526693</v>
      </c>
      <c r="F211">
        <v>39826.91754936464</v>
      </c>
      <c r="G211">
        <v>10000</v>
      </c>
      <c r="H211">
        <v>322289.58841609815</v>
      </c>
      <c r="I211">
        <v>26.115063847189525</v>
      </c>
    </row>
    <row r="212" spans="1:9" x14ac:dyDescent="0.2">
      <c r="A212">
        <v>202</v>
      </c>
      <c r="B212">
        <v>1359913.7010360563</v>
      </c>
      <c r="C212">
        <v>88929.278637414842</v>
      </c>
      <c r="D212">
        <v>103271.87264361822</v>
      </c>
      <c r="E212">
        <v>146303.68146458565</v>
      </c>
      <c r="F212">
        <v>46128.716409086701</v>
      </c>
      <c r="G212">
        <v>10000</v>
      </c>
      <c r="H212">
        <v>374633.54915470543</v>
      </c>
      <c r="I212">
        <v>50.654695944401027</v>
      </c>
    </row>
    <row r="213" spans="1:9" x14ac:dyDescent="0.2">
      <c r="A213">
        <v>203</v>
      </c>
      <c r="B213">
        <v>1540689.6577737015</v>
      </c>
      <c r="C213">
        <v>129354.32618234037</v>
      </c>
      <c r="D213">
        <v>73675.636566025016</v>
      </c>
      <c r="E213">
        <v>182512.14892439023</v>
      </c>
      <c r="F213">
        <v>48635.456463996248</v>
      </c>
      <c r="G213">
        <v>10000</v>
      </c>
      <c r="H213">
        <v>424177.56813675188</v>
      </c>
      <c r="I213">
        <v>37.526166241215236</v>
      </c>
    </row>
    <row r="214" spans="1:9" x14ac:dyDescent="0.2">
      <c r="A214">
        <v>204</v>
      </c>
      <c r="B214">
        <v>1116099.9709493113</v>
      </c>
      <c r="C214">
        <v>121432.36196358716</v>
      </c>
      <c r="D214">
        <v>68201.796714254029</v>
      </c>
      <c r="E214">
        <v>86210.616651301854</v>
      </c>
      <c r="F214">
        <v>41968.427306628582</v>
      </c>
      <c r="G214">
        <v>10000</v>
      </c>
      <c r="H214">
        <v>307813.20263577159</v>
      </c>
      <c r="I214">
        <v>35.789364592583212</v>
      </c>
    </row>
    <row r="215" spans="1:9" x14ac:dyDescent="0.2">
      <c r="A215">
        <v>205</v>
      </c>
      <c r="B215">
        <v>1032478.9112186462</v>
      </c>
      <c r="C215">
        <v>113425.43573130823</v>
      </c>
      <c r="D215">
        <v>88426.749075426269</v>
      </c>
      <c r="E215">
        <v>53350.102404667959</v>
      </c>
      <c r="F215">
        <v>39693.468628015471</v>
      </c>
      <c r="G215">
        <v>10000</v>
      </c>
      <c r="H215">
        <v>284895.75583941792</v>
      </c>
      <c r="I215">
        <v>38.30289331377076</v>
      </c>
    </row>
    <row r="216" spans="1:9" x14ac:dyDescent="0.2">
      <c r="A216">
        <v>206</v>
      </c>
      <c r="B216">
        <v>1847900.2118476527</v>
      </c>
      <c r="C216">
        <v>148334.75331036132</v>
      </c>
      <c r="D216">
        <v>116063.48769507311</v>
      </c>
      <c r="E216">
        <v>203860.95311738839</v>
      </c>
      <c r="F216">
        <v>50113.450600434582</v>
      </c>
      <c r="G216">
        <v>10000</v>
      </c>
      <c r="H216">
        <v>508372.6447232574</v>
      </c>
      <c r="I216">
        <v>27.157553609910195</v>
      </c>
    </row>
    <row r="217" spans="1:9" x14ac:dyDescent="0.2">
      <c r="A217">
        <v>207</v>
      </c>
      <c r="B217">
        <v>914031.08830938453</v>
      </c>
      <c r="C217">
        <v>87977.43034718027</v>
      </c>
      <c r="D217">
        <v>47042.569866440368</v>
      </c>
      <c r="E217">
        <v>85494.71340033703</v>
      </c>
      <c r="F217">
        <v>41918.864773869493</v>
      </c>
      <c r="G217">
        <v>10000</v>
      </c>
      <c r="H217">
        <v>252433.57838782715</v>
      </c>
      <c r="I217">
        <v>53.167494718199073</v>
      </c>
    </row>
    <row r="218" spans="1:9" x14ac:dyDescent="0.2">
      <c r="A218">
        <v>208</v>
      </c>
      <c r="B218">
        <v>1674422.4053586153</v>
      </c>
      <c r="C218">
        <v>137978.73750753098</v>
      </c>
      <c r="D218">
        <v>77806.582781190096</v>
      </c>
      <c r="E218">
        <v>204860.78911323298</v>
      </c>
      <c r="F218">
        <v>50182.670015531512</v>
      </c>
      <c r="G218">
        <v>10000</v>
      </c>
      <c r="H218">
        <v>460828.77941748558</v>
      </c>
      <c r="I218">
        <v>35.665961457776341</v>
      </c>
    </row>
    <row r="219" spans="1:9" x14ac:dyDescent="0.2">
      <c r="A219">
        <v>209</v>
      </c>
      <c r="B219">
        <v>1052506.6810478519</v>
      </c>
      <c r="C219">
        <v>117430.58794213539</v>
      </c>
      <c r="D219">
        <v>84759.432425943567</v>
      </c>
      <c r="E219">
        <v>58167.619126317019</v>
      </c>
      <c r="F219">
        <v>40026.989016437336</v>
      </c>
      <c r="G219">
        <v>10000</v>
      </c>
      <c r="H219">
        <v>290384.62851083331</v>
      </c>
      <c r="I219">
        <v>36.788430714750469</v>
      </c>
    </row>
    <row r="220" spans="1:9" x14ac:dyDescent="0.2">
      <c r="A220">
        <v>210</v>
      </c>
      <c r="B220">
        <v>1351573.7884997528</v>
      </c>
      <c r="C220">
        <v>133008.86912767327</v>
      </c>
      <c r="D220">
        <v>81181.368723022053</v>
      </c>
      <c r="E220">
        <v>123600.67894558959</v>
      </c>
      <c r="F220">
        <v>44556.970080848507</v>
      </c>
      <c r="G220">
        <v>10000</v>
      </c>
      <c r="H220">
        <v>372347.88687713339</v>
      </c>
      <c r="I220">
        <v>36.04776023353628</v>
      </c>
    </row>
    <row r="221" spans="1:9" x14ac:dyDescent="0.2">
      <c r="A221">
        <v>211</v>
      </c>
      <c r="B221">
        <v>1280742.6414566704</v>
      </c>
      <c r="C221">
        <v>91016.312746719501</v>
      </c>
      <c r="D221">
        <v>62726.917048457333</v>
      </c>
      <c r="E221">
        <v>161978.55353630453</v>
      </c>
      <c r="F221">
        <v>47213.899860205696</v>
      </c>
      <c r="G221">
        <v>10000</v>
      </c>
      <c r="H221">
        <v>352935.6831916871</v>
      </c>
      <c r="I221">
        <v>35.076280471573696</v>
      </c>
    </row>
    <row r="222" spans="1:9" x14ac:dyDescent="0.2">
      <c r="A222">
        <v>212</v>
      </c>
      <c r="B222">
        <v>1693814.69941029</v>
      </c>
      <c r="C222">
        <v>100995.33886352951</v>
      </c>
      <c r="D222">
        <v>136081.16701458627</v>
      </c>
      <c r="E222">
        <v>189918.76365076713</v>
      </c>
      <c r="F222">
        <v>49148.222098899263</v>
      </c>
      <c r="G222">
        <v>10000</v>
      </c>
      <c r="H222">
        <v>466143.49162778218</v>
      </c>
      <c r="I222">
        <v>25.424305938048352</v>
      </c>
    </row>
    <row r="223" spans="1:9" x14ac:dyDescent="0.2">
      <c r="A223">
        <v>213</v>
      </c>
      <c r="B223">
        <v>1095298.0980063677</v>
      </c>
      <c r="C223">
        <v>153323.7748137259</v>
      </c>
      <c r="D223">
        <v>85823.99997826184</v>
      </c>
      <c r="E223">
        <v>34571.023522297764</v>
      </c>
      <c r="F223">
        <v>38393.37855154369</v>
      </c>
      <c r="G223">
        <v>10000</v>
      </c>
      <c r="H223">
        <v>302112.17686582915</v>
      </c>
      <c r="I223">
        <v>33.961196964546957</v>
      </c>
    </row>
    <row r="224" spans="1:9" x14ac:dyDescent="0.2">
      <c r="A224">
        <v>214</v>
      </c>
      <c r="B224">
        <v>1240486.1964289979</v>
      </c>
      <c r="C224">
        <v>91509.205028840923</v>
      </c>
      <c r="D224">
        <v>66699.922743074058</v>
      </c>
      <c r="E224">
        <v>147483.36268158921</v>
      </c>
      <c r="F224">
        <v>46210.386647186948</v>
      </c>
      <c r="G224">
        <v>10000</v>
      </c>
      <c r="H224">
        <v>341902.87710069114</v>
      </c>
      <c r="I224">
        <v>35.798997272863467</v>
      </c>
    </row>
    <row r="225" spans="1:9" x14ac:dyDescent="0.2">
      <c r="A225">
        <v>215</v>
      </c>
      <c r="B225">
        <v>1293294.7998294218</v>
      </c>
      <c r="C225">
        <v>134283.15671629066</v>
      </c>
      <c r="D225">
        <v>74135.54739498008</v>
      </c>
      <c r="E225">
        <v>114060.56205684066</v>
      </c>
      <c r="F225">
        <v>43896.50045008897</v>
      </c>
      <c r="G225">
        <v>10000</v>
      </c>
      <c r="H225">
        <v>356375.76661820034</v>
      </c>
      <c r="I225">
        <v>32.203929384160155</v>
      </c>
    </row>
    <row r="226" spans="1:9" x14ac:dyDescent="0.2">
      <c r="A226">
        <v>216</v>
      </c>
      <c r="B226">
        <v>1870573.0034970797</v>
      </c>
      <c r="C226">
        <v>142793.36725036675</v>
      </c>
      <c r="D226">
        <v>135952.29054936272</v>
      </c>
      <c r="E226">
        <v>196253.95051403932</v>
      </c>
      <c r="F226">
        <v>49586.811958664257</v>
      </c>
      <c r="G226">
        <v>10000</v>
      </c>
      <c r="H226">
        <v>514586.42027243308</v>
      </c>
      <c r="I226">
        <v>33.284512145327341</v>
      </c>
    </row>
    <row r="227" spans="1:9" x14ac:dyDescent="0.2">
      <c r="A227">
        <v>217</v>
      </c>
      <c r="B227">
        <v>1031148.1060008842</v>
      </c>
      <c r="C227">
        <v>84485.414654764812</v>
      </c>
      <c r="D227">
        <v>40249.831578831276</v>
      </c>
      <c r="E227">
        <v>125132.74856421897</v>
      </c>
      <c r="F227">
        <v>44663.03643906131</v>
      </c>
      <c r="G227">
        <v>10000</v>
      </c>
      <c r="H227">
        <v>284531.03123687638</v>
      </c>
      <c r="I227">
        <v>31.04299299624364</v>
      </c>
    </row>
    <row r="228" spans="1:9" x14ac:dyDescent="0.2">
      <c r="A228">
        <v>218</v>
      </c>
      <c r="B228">
        <v>1773639.6519777607</v>
      </c>
      <c r="C228">
        <v>111948.59242525935</v>
      </c>
      <c r="D228">
        <v>136362.32977492642</v>
      </c>
      <c r="E228">
        <v>199872.32829381281</v>
      </c>
      <c r="F228">
        <v>49837.3150357255</v>
      </c>
      <c r="G228">
        <v>10000</v>
      </c>
      <c r="H228">
        <v>488020.56552972406</v>
      </c>
      <c r="I228">
        <v>28.030011490444785</v>
      </c>
    </row>
    <row r="229" spans="1:9" x14ac:dyDescent="0.2">
      <c r="A229">
        <v>219</v>
      </c>
      <c r="B229">
        <v>1738416.0990870299</v>
      </c>
      <c r="C229">
        <v>120860.07825889868</v>
      </c>
      <c r="D229">
        <v>134303.41862219907</v>
      </c>
      <c r="E229">
        <v>184435.01463859415</v>
      </c>
      <c r="F229">
        <v>48768.57793651805</v>
      </c>
      <c r="G229">
        <v>10000</v>
      </c>
      <c r="H229">
        <v>478367.08945620997</v>
      </c>
      <c r="I229">
        <v>31.616771123375866</v>
      </c>
    </row>
    <row r="230" spans="1:9" x14ac:dyDescent="0.2">
      <c r="A230">
        <v>220</v>
      </c>
      <c r="B230">
        <v>1969149.5352206416</v>
      </c>
      <c r="C230">
        <v>155232.65185665811</v>
      </c>
      <c r="D230">
        <v>139403.23878691849</v>
      </c>
      <c r="E230">
        <v>206659.52177004213</v>
      </c>
      <c r="F230">
        <v>50307.197661002923</v>
      </c>
      <c r="G230">
        <v>10000</v>
      </c>
      <c r="H230">
        <v>541602.61007462163</v>
      </c>
      <c r="I230">
        <v>33.511426566995929</v>
      </c>
    </row>
    <row r="231" spans="1:9" x14ac:dyDescent="0.2">
      <c r="A231">
        <v>221</v>
      </c>
      <c r="B231">
        <v>941559.88590471621</v>
      </c>
      <c r="C231">
        <v>101391.71510978542</v>
      </c>
      <c r="D231">
        <v>44823.280608305358</v>
      </c>
      <c r="E231">
        <v>82080.700241907689</v>
      </c>
      <c r="F231">
        <v>41682.510016747459</v>
      </c>
      <c r="G231">
        <v>10000</v>
      </c>
      <c r="H231">
        <v>259978.20597674593</v>
      </c>
      <c r="I231">
        <v>35.966447899595479</v>
      </c>
    </row>
    <row r="232" spans="1:9" x14ac:dyDescent="0.2">
      <c r="A232">
        <v>222</v>
      </c>
      <c r="B232">
        <v>1333920.6818655487</v>
      </c>
      <c r="C232">
        <v>131922.5887208913</v>
      </c>
      <c r="D232">
        <v>80099.587666818639</v>
      </c>
      <c r="E232">
        <v>121103.55322656425</v>
      </c>
      <c r="F232">
        <v>44384.092146454444</v>
      </c>
      <c r="G232">
        <v>10000</v>
      </c>
      <c r="H232">
        <v>367509.82176072866</v>
      </c>
      <c r="I232">
        <v>34.986921349449403</v>
      </c>
    </row>
    <row r="233" spans="1:9" x14ac:dyDescent="0.2">
      <c r="A233">
        <v>223</v>
      </c>
      <c r="B233">
        <v>1215380.1929397699</v>
      </c>
      <c r="C233">
        <v>165242.70535083045</v>
      </c>
      <c r="D233">
        <v>66825.703147345645</v>
      </c>
      <c r="E233">
        <v>71971.21677543757</v>
      </c>
      <c r="F233">
        <v>40982.622699837986</v>
      </c>
      <c r="G233">
        <v>10000</v>
      </c>
      <c r="H233">
        <v>335022.24797345162</v>
      </c>
      <c r="I233">
        <v>30.641221555411139</v>
      </c>
    </row>
    <row r="234" spans="1:9" x14ac:dyDescent="0.2">
      <c r="A234">
        <v>224</v>
      </c>
      <c r="B234">
        <v>1512467.49108648</v>
      </c>
      <c r="C234">
        <v>128025.67199725879</v>
      </c>
      <c r="D234">
        <v>57705.575552834925</v>
      </c>
      <c r="E234">
        <v>191456.95392093266</v>
      </c>
      <c r="F234">
        <v>49254.71219452611</v>
      </c>
      <c r="G234">
        <v>10000</v>
      </c>
      <c r="H234">
        <v>416442.91366555251</v>
      </c>
      <c r="I234">
        <v>30.06752952207988</v>
      </c>
    </row>
    <row r="235" spans="1:9" x14ac:dyDescent="0.2">
      <c r="A235">
        <v>225</v>
      </c>
      <c r="B235">
        <v>1692819.3131787023</v>
      </c>
      <c r="C235">
        <v>137222.01056172833</v>
      </c>
      <c r="D235">
        <v>104682.20002927544</v>
      </c>
      <c r="E235">
        <v>185148.50872050101</v>
      </c>
      <c r="F235">
        <v>48817.973680650066</v>
      </c>
      <c r="G235">
        <v>10000</v>
      </c>
      <c r="H235">
        <v>465870.6929921548</v>
      </c>
      <c r="I235">
        <v>39.412198687117744</v>
      </c>
    </row>
    <row r="236" spans="1:9" x14ac:dyDescent="0.2">
      <c r="A236">
        <v>226</v>
      </c>
      <c r="B236">
        <v>1065326.8664258756</v>
      </c>
      <c r="C236">
        <v>115549.43574091539</v>
      </c>
      <c r="D236">
        <v>94131.116883736875</v>
      </c>
      <c r="E236">
        <v>54448.129720713012</v>
      </c>
      <c r="F236">
        <v>39769.485903741668</v>
      </c>
      <c r="G236">
        <v>10000</v>
      </c>
      <c r="H236">
        <v>293898.16824910697</v>
      </c>
      <c r="I236">
        <v>27.797732368197977</v>
      </c>
    </row>
    <row r="237" spans="1:9" x14ac:dyDescent="0.2">
      <c r="A237">
        <v>227</v>
      </c>
      <c r="B237">
        <v>1557517.8043520935</v>
      </c>
      <c r="C237">
        <v>139758.82460307877</v>
      </c>
      <c r="D237">
        <v>132501.9167069562</v>
      </c>
      <c r="E237">
        <v>122077.29574349467</v>
      </c>
      <c r="F237">
        <v>44451.505089934246</v>
      </c>
      <c r="G237">
        <v>10000</v>
      </c>
      <c r="H237">
        <v>428789.54214346386</v>
      </c>
      <c r="I237">
        <v>35.439021631533095</v>
      </c>
    </row>
    <row r="238" spans="1:9" x14ac:dyDescent="0.2">
      <c r="A238">
        <v>228</v>
      </c>
      <c r="B238">
        <v>1112229.7192756045</v>
      </c>
      <c r="C238">
        <v>96586.757767917894</v>
      </c>
      <c r="D238">
        <v>51465.572573291523</v>
      </c>
      <c r="E238">
        <v>124108.08119679461</v>
      </c>
      <c r="F238">
        <v>44592.097929008858</v>
      </c>
      <c r="G238">
        <v>10000</v>
      </c>
      <c r="H238">
        <v>306752.50946701295</v>
      </c>
      <c r="I238">
        <v>47.007356228173229</v>
      </c>
    </row>
    <row r="239" spans="1:9" x14ac:dyDescent="0.2">
      <c r="A239">
        <v>229</v>
      </c>
      <c r="B239">
        <v>1494225.4728704575</v>
      </c>
      <c r="C239">
        <v>156243.96162804461</v>
      </c>
      <c r="D239">
        <v>127404.86522954049</v>
      </c>
      <c r="E239">
        <v>95203.604018495098</v>
      </c>
      <c r="F239">
        <v>42591.018739741965</v>
      </c>
      <c r="G239">
        <v>10000</v>
      </c>
      <c r="H239">
        <v>411443.44961582217</v>
      </c>
      <c r="I239">
        <v>26.308609781879134</v>
      </c>
    </row>
    <row r="240" spans="1:9" x14ac:dyDescent="0.2">
      <c r="A240">
        <v>230</v>
      </c>
      <c r="B240">
        <v>1799258.8362541734</v>
      </c>
      <c r="C240">
        <v>138792.048595542</v>
      </c>
      <c r="D240">
        <v>117092.95318234387</v>
      </c>
      <c r="E240">
        <v>199355.31498917105</v>
      </c>
      <c r="F240">
        <v>49801.521806942612</v>
      </c>
      <c r="G240">
        <v>10000</v>
      </c>
      <c r="H240">
        <v>495041.83857399953</v>
      </c>
      <c r="I240">
        <v>38.208843071845791</v>
      </c>
    </row>
    <row r="241" spans="1:9" x14ac:dyDescent="0.2">
      <c r="A241">
        <v>231</v>
      </c>
      <c r="B241">
        <v>1333429.4962508937</v>
      </c>
      <c r="C241">
        <v>112998.90672988827</v>
      </c>
      <c r="D241">
        <v>92585.231776094108</v>
      </c>
      <c r="E241">
        <v>126998.84001706647</v>
      </c>
      <c r="F241">
        <v>44792.227385796905</v>
      </c>
      <c r="G241">
        <v>10000</v>
      </c>
      <c r="H241">
        <v>367375.20590884576</v>
      </c>
      <c r="I241">
        <v>41.632310032318088</v>
      </c>
    </row>
    <row r="242" spans="1:9" x14ac:dyDescent="0.2">
      <c r="A242">
        <v>232</v>
      </c>
      <c r="B242">
        <v>941915.95374233089</v>
      </c>
      <c r="C242">
        <v>110996.82443647628</v>
      </c>
      <c r="D242">
        <v>83530.042643703564</v>
      </c>
      <c r="E242">
        <v>36988.202256988421</v>
      </c>
      <c r="F242">
        <v>38560.721694714579</v>
      </c>
      <c r="G242">
        <v>10000</v>
      </c>
      <c r="H242">
        <v>260075.79103188287</v>
      </c>
      <c r="I242">
        <v>31.039535028025341</v>
      </c>
    </row>
    <row r="243" spans="1:9" x14ac:dyDescent="0.2">
      <c r="A243">
        <v>233</v>
      </c>
      <c r="B243">
        <v>1224514.8026761399</v>
      </c>
      <c r="C243">
        <v>74411.263935439987</v>
      </c>
      <c r="D243">
        <v>75272.877442023295</v>
      </c>
      <c r="E243">
        <v>151362.61573135105</v>
      </c>
      <c r="F243">
        <v>46478.950319862764</v>
      </c>
      <c r="G243">
        <v>10000</v>
      </c>
      <c r="H243">
        <v>337525.70742867707</v>
      </c>
      <c r="I243">
        <v>42.820482001062487</v>
      </c>
    </row>
    <row r="244" spans="1:9" x14ac:dyDescent="0.2">
      <c r="A244">
        <v>234</v>
      </c>
      <c r="B244">
        <v>1739811.2304951646</v>
      </c>
      <c r="C244">
        <v>114362.99567249726</v>
      </c>
      <c r="D244">
        <v>159416.06615333026</v>
      </c>
      <c r="E244">
        <v>167382.37134419469</v>
      </c>
      <c r="F244">
        <v>47588.010323828865</v>
      </c>
      <c r="G244">
        <v>10000</v>
      </c>
      <c r="H244">
        <v>478749.44349385105</v>
      </c>
      <c r="I244">
        <v>43.144629580533731</v>
      </c>
    </row>
    <row r="245" spans="1:9" x14ac:dyDescent="0.2">
      <c r="A245">
        <v>235</v>
      </c>
      <c r="B245">
        <v>894103.01133913361</v>
      </c>
      <c r="C245">
        <v>101595.4212412396</v>
      </c>
      <c r="D245">
        <v>80776.726477769625</v>
      </c>
      <c r="E245">
        <v>36100.607317048372</v>
      </c>
      <c r="F245">
        <v>38499.272814257194</v>
      </c>
      <c r="G245">
        <v>10000</v>
      </c>
      <c r="H245">
        <v>246972.0278503148</v>
      </c>
      <c r="I245">
        <v>47.192078476114972</v>
      </c>
    </row>
    <row r="246" spans="1:9" x14ac:dyDescent="0.2">
      <c r="A246">
        <v>236</v>
      </c>
      <c r="B246">
        <v>1401542.6809246922</v>
      </c>
      <c r="C246">
        <v>121954.29006255593</v>
      </c>
      <c r="D246">
        <v>46937.78381936525</v>
      </c>
      <c r="E246">
        <v>178773.79516415193</v>
      </c>
      <c r="F246">
        <v>48376.647357518203</v>
      </c>
      <c r="G246">
        <v>10000</v>
      </c>
      <c r="H246">
        <v>386042.51640359132</v>
      </c>
      <c r="I246">
        <v>27.968697083951973</v>
      </c>
    </row>
    <row r="247" spans="1:9" x14ac:dyDescent="0.2">
      <c r="A247">
        <v>237</v>
      </c>
      <c r="B247">
        <v>1146427.6643024776</v>
      </c>
      <c r="C247">
        <v>81538.079149462108</v>
      </c>
      <c r="D247">
        <v>75957.160964365059</v>
      </c>
      <c r="E247">
        <v>124042.13194527115</v>
      </c>
      <c r="F247">
        <v>44587.532211595695</v>
      </c>
      <c r="G247">
        <v>10000</v>
      </c>
      <c r="H247">
        <v>316124.90427069401</v>
      </c>
      <c r="I247">
        <v>35.104595079955558</v>
      </c>
    </row>
    <row r="248" spans="1:9" x14ac:dyDescent="0.2">
      <c r="A248">
        <v>238</v>
      </c>
      <c r="B248">
        <v>1235673.711090968</v>
      </c>
      <c r="C248">
        <v>97443.772839477067</v>
      </c>
      <c r="D248">
        <v>56864.762694378878</v>
      </c>
      <c r="E248">
        <v>149897.87193935268</v>
      </c>
      <c r="F248">
        <v>46377.544980416722</v>
      </c>
      <c r="G248">
        <v>10000</v>
      </c>
      <c r="H248">
        <v>340583.95245362533</v>
      </c>
      <c r="I248">
        <v>43.430125185678648</v>
      </c>
    </row>
    <row r="249" spans="1:9" x14ac:dyDescent="0.2">
      <c r="A249">
        <v>239</v>
      </c>
      <c r="B249">
        <v>1539468.5718226458</v>
      </c>
      <c r="C249">
        <v>113612.31883561022</v>
      </c>
      <c r="D249">
        <v>88073.118190331079</v>
      </c>
      <c r="E249">
        <v>183456.63270771352</v>
      </c>
      <c r="F249">
        <v>48700.843802841708</v>
      </c>
      <c r="G249">
        <v>10000</v>
      </c>
      <c r="H249">
        <v>423842.91353649658</v>
      </c>
      <c r="I249">
        <v>29.705511043137811</v>
      </c>
    </row>
    <row r="250" spans="1:9" x14ac:dyDescent="0.2">
      <c r="A250">
        <v>240</v>
      </c>
      <c r="B250">
        <v>1035339.3755181234</v>
      </c>
      <c r="C250">
        <v>146754.70019045306</v>
      </c>
      <c r="D250">
        <v>33502.046951183453</v>
      </c>
      <c r="E250">
        <v>74280.46282867984</v>
      </c>
      <c r="F250">
        <v>41142.493580447066</v>
      </c>
      <c r="G250">
        <v>10000</v>
      </c>
      <c r="H250">
        <v>285679.70355076337</v>
      </c>
      <c r="I250">
        <v>24.63876293375148</v>
      </c>
    </row>
    <row r="251" spans="1:9" x14ac:dyDescent="0.2">
      <c r="A251">
        <v>241</v>
      </c>
      <c r="B251">
        <v>1754963.6003799294</v>
      </c>
      <c r="C251">
        <v>144678.40606092216</v>
      </c>
      <c r="D251">
        <v>97311.114847087825</v>
      </c>
      <c r="E251">
        <v>200997.4219061989</v>
      </c>
      <c r="F251">
        <v>49915.206131967614</v>
      </c>
      <c r="G251">
        <v>10000</v>
      </c>
      <c r="H251">
        <v>482902.14894617652</v>
      </c>
      <c r="I251">
        <v>31.418133522861851</v>
      </c>
    </row>
    <row r="252" spans="1:9" x14ac:dyDescent="0.2">
      <c r="A252">
        <v>242</v>
      </c>
      <c r="B252">
        <v>1606905.6366889013</v>
      </c>
      <c r="C252">
        <v>159728.88272991215</v>
      </c>
      <c r="D252">
        <v>148422.82506098106</v>
      </c>
      <c r="E252">
        <v>101169.19552195405</v>
      </c>
      <c r="F252">
        <v>43004.021228442973</v>
      </c>
      <c r="G252">
        <v>10000</v>
      </c>
      <c r="H252">
        <v>442324.92454129021</v>
      </c>
      <c r="I252">
        <v>33.922587412982914</v>
      </c>
    </row>
    <row r="253" spans="1:9" x14ac:dyDescent="0.2">
      <c r="A253">
        <v>243</v>
      </c>
      <c r="B253">
        <v>1319277.5212274238</v>
      </c>
      <c r="C253">
        <v>127529.6702060924</v>
      </c>
      <c r="D253">
        <v>114787.57856561904</v>
      </c>
      <c r="E253">
        <v>89016.726547713683</v>
      </c>
      <c r="F253">
        <v>42162.696453303251</v>
      </c>
      <c r="G253">
        <v>10000</v>
      </c>
      <c r="H253">
        <v>363496.67177272838</v>
      </c>
      <c r="I253">
        <v>28.270307687131851</v>
      </c>
    </row>
    <row r="254" spans="1:9" x14ac:dyDescent="0.2">
      <c r="A254">
        <v>244</v>
      </c>
      <c r="B254">
        <v>975337.00829869159</v>
      </c>
      <c r="C254">
        <v>101688.21354285191</v>
      </c>
      <c r="D254">
        <v>44494.434060529791</v>
      </c>
      <c r="E254">
        <v>90768.638552967095</v>
      </c>
      <c r="F254">
        <v>42283.982669051562</v>
      </c>
      <c r="G254">
        <v>10000</v>
      </c>
      <c r="H254">
        <v>269235.26882540039</v>
      </c>
      <c r="I254">
        <v>30.65469139176939</v>
      </c>
    </row>
    <row r="255" spans="1:9" x14ac:dyDescent="0.2">
      <c r="A255">
        <v>245</v>
      </c>
      <c r="B255">
        <v>1286001.8674507434</v>
      </c>
      <c r="C255">
        <v>81804.635039120694</v>
      </c>
      <c r="D255">
        <v>59583.676952487818</v>
      </c>
      <c r="E255">
        <v>174881.54695589808</v>
      </c>
      <c r="F255">
        <v>48107.18402002372</v>
      </c>
      <c r="G255">
        <v>10000</v>
      </c>
      <c r="H255">
        <v>354377.04296753037</v>
      </c>
      <c r="I255">
        <v>35.717758667010344</v>
      </c>
    </row>
    <row r="256" spans="1:9" x14ac:dyDescent="0.2">
      <c r="A256">
        <v>246</v>
      </c>
      <c r="B256">
        <v>1093260.6220158925</v>
      </c>
      <c r="C256">
        <v>138501.32487835272</v>
      </c>
      <c r="D256">
        <v>87706.566556159363</v>
      </c>
      <c r="E256">
        <v>46150.830921301625</v>
      </c>
      <c r="F256">
        <v>39195.057525320881</v>
      </c>
      <c r="G256">
        <v>10000</v>
      </c>
      <c r="H256">
        <v>301553.77988113463</v>
      </c>
      <c r="I256">
        <v>38.688268233594428</v>
      </c>
    </row>
    <row r="257" spans="1:9" x14ac:dyDescent="0.2">
      <c r="A257">
        <v>247</v>
      </c>
      <c r="B257">
        <v>1243628.662673967</v>
      </c>
      <c r="C257">
        <v>139056.33402748918</v>
      </c>
      <c r="D257">
        <v>96182.407843064575</v>
      </c>
      <c r="E257">
        <v>76246.748236887783</v>
      </c>
      <c r="F257">
        <v>41278.62103178454</v>
      </c>
      <c r="G257">
        <v>10000</v>
      </c>
      <c r="H257">
        <v>342764.11113922612</v>
      </c>
      <c r="I257">
        <v>30.593048245558816</v>
      </c>
    </row>
    <row r="258" spans="1:9" x14ac:dyDescent="0.2">
      <c r="A258">
        <v>248</v>
      </c>
      <c r="B258">
        <v>1086853.7419066092</v>
      </c>
      <c r="C258">
        <v>91224.177211284652</v>
      </c>
      <c r="D258">
        <v>50206.906186260661</v>
      </c>
      <c r="E258">
        <v>123796.29437641184</v>
      </c>
      <c r="F258">
        <v>44570.512687597744</v>
      </c>
      <c r="G258">
        <v>10000</v>
      </c>
      <c r="H258">
        <v>299797.89046155487</v>
      </c>
      <c r="I258">
        <v>38.024640710095788</v>
      </c>
    </row>
    <row r="259" spans="1:9" x14ac:dyDescent="0.2">
      <c r="A259">
        <v>249</v>
      </c>
      <c r="B259">
        <v>1152636.1744870811</v>
      </c>
      <c r="C259">
        <v>151403.92426306213</v>
      </c>
      <c r="D259">
        <v>72270.390295704958</v>
      </c>
      <c r="E259">
        <v>63739.38649761425</v>
      </c>
      <c r="F259">
        <v>40412.72675752714</v>
      </c>
      <c r="G259">
        <v>10000</v>
      </c>
      <c r="H259">
        <v>317826.42781390849</v>
      </c>
      <c r="I259">
        <v>40.942150942555699</v>
      </c>
    </row>
    <row r="260" spans="1:9" x14ac:dyDescent="0.2">
      <c r="A260">
        <v>250</v>
      </c>
      <c r="B260">
        <v>1442966.6210499913</v>
      </c>
      <c r="C260">
        <v>106231.06902460655</v>
      </c>
      <c r="D260">
        <v>127367.39627514021</v>
      </c>
      <c r="E260">
        <v>128874.72796807514</v>
      </c>
      <c r="F260">
        <v>44922.096551635965</v>
      </c>
      <c r="G260">
        <v>10000</v>
      </c>
      <c r="H260">
        <v>397395.28981945786</v>
      </c>
      <c r="I260">
        <v>39.419769921705694</v>
      </c>
    </row>
    <row r="261" spans="1:9" x14ac:dyDescent="0.2">
      <c r="A261">
        <v>251</v>
      </c>
      <c r="B261">
        <v>1328779.4956145636</v>
      </c>
      <c r="C261">
        <v>135542.06587945091</v>
      </c>
      <c r="D261">
        <v>46104.003048352351</v>
      </c>
      <c r="E261">
        <v>148195.08375063809</v>
      </c>
      <c r="F261">
        <v>46259.659644274943</v>
      </c>
      <c r="G261">
        <v>10000</v>
      </c>
      <c r="H261">
        <v>366100.81232271635</v>
      </c>
      <c r="I261">
        <v>38.85522208692656</v>
      </c>
    </row>
    <row r="262" spans="1:9" x14ac:dyDescent="0.2">
      <c r="A262">
        <v>252</v>
      </c>
      <c r="B262">
        <v>1688835.9352634307</v>
      </c>
      <c r="C262">
        <v>150142.33947147621</v>
      </c>
      <c r="D262">
        <v>114953.31207295024</v>
      </c>
      <c r="E262">
        <v>162437.66037105958</v>
      </c>
      <c r="F262">
        <v>47245.684179534896</v>
      </c>
      <c r="G262">
        <v>10000</v>
      </c>
      <c r="H262">
        <v>464778.99609502091</v>
      </c>
      <c r="I262">
        <v>35.596348017529301</v>
      </c>
    </row>
    <row r="263" spans="1:9" x14ac:dyDescent="0.2">
      <c r="A263">
        <v>253</v>
      </c>
      <c r="B263">
        <v>765219.63524579187</v>
      </c>
      <c r="C263">
        <v>79485.567340073481</v>
      </c>
      <c r="D263">
        <v>72777.574761834272</v>
      </c>
      <c r="E263">
        <v>31224.978937259093</v>
      </c>
      <c r="F263">
        <v>38161.729311041017</v>
      </c>
      <c r="G263">
        <v>10000</v>
      </c>
      <c r="H263">
        <v>211649.85035020785</v>
      </c>
      <c r="I263">
        <v>26.526866016786705</v>
      </c>
    </row>
    <row r="264" spans="1:9" x14ac:dyDescent="0.2">
      <c r="A264">
        <v>254</v>
      </c>
      <c r="B264">
        <v>1498561.8477731014</v>
      </c>
      <c r="C264">
        <v>139194.07168021993</v>
      </c>
      <c r="D264">
        <v>44612.508886290299</v>
      </c>
      <c r="E264">
        <v>189692.7354052533</v>
      </c>
      <c r="F264">
        <v>49132.573989594457</v>
      </c>
      <c r="G264">
        <v>10000</v>
      </c>
      <c r="H264">
        <v>412631.88996135804</v>
      </c>
      <c r="I264">
        <v>36.724285118186501</v>
      </c>
    </row>
    <row r="265" spans="1:9" x14ac:dyDescent="0.2">
      <c r="A265">
        <v>255</v>
      </c>
      <c r="B265">
        <v>1225609.5535462899</v>
      </c>
      <c r="C265">
        <v>129116.29826816043</v>
      </c>
      <c r="D265">
        <v>83720.983134511989</v>
      </c>
      <c r="E265">
        <v>92579.13229868206</v>
      </c>
      <c r="F265">
        <v>42409.324543754912</v>
      </c>
      <c r="G265">
        <v>10000</v>
      </c>
      <c r="H265">
        <v>337825.73824510939</v>
      </c>
      <c r="I265">
        <v>37.934528843519715</v>
      </c>
    </row>
    <row r="266" spans="1:9" x14ac:dyDescent="0.2">
      <c r="A266">
        <v>256</v>
      </c>
      <c r="B266">
        <v>1568487.636754652</v>
      </c>
      <c r="C266">
        <v>108961.13146230474</v>
      </c>
      <c r="D266">
        <v>148910.3859824753</v>
      </c>
      <c r="E266">
        <v>138346.60881684796</v>
      </c>
      <c r="F266">
        <v>45577.842148858705</v>
      </c>
      <c r="G266">
        <v>10000</v>
      </c>
      <c r="H266">
        <v>431795.9684104867</v>
      </c>
      <c r="I266">
        <v>26.003116718575395</v>
      </c>
    </row>
    <row r="267" spans="1:9" x14ac:dyDescent="0.2">
      <c r="A267">
        <v>257</v>
      </c>
      <c r="B267">
        <v>1093284.8241211539</v>
      </c>
      <c r="C267">
        <v>100567.43327219893</v>
      </c>
      <c r="D267">
        <v>68990.874275172158</v>
      </c>
      <c r="E267">
        <v>99138.659574865698</v>
      </c>
      <c r="F267">
        <v>42863.445662875311</v>
      </c>
      <c r="G267">
        <v>10000</v>
      </c>
      <c r="H267">
        <v>301560.4127851121</v>
      </c>
      <c r="I267">
        <v>32.690209190598885</v>
      </c>
    </row>
    <row r="268" spans="1:9" x14ac:dyDescent="0.2">
      <c r="A268">
        <v>258</v>
      </c>
      <c r="B268">
        <v>1049901.3420945851</v>
      </c>
      <c r="C268">
        <v>102791.48306978781</v>
      </c>
      <c r="D268">
        <v>46152.408205639906</v>
      </c>
      <c r="E268">
        <v>107298.36183978243</v>
      </c>
      <c r="F268">
        <v>43428.348127369551</v>
      </c>
      <c r="G268">
        <v>10000</v>
      </c>
      <c r="H268">
        <v>289670.60124257969</v>
      </c>
      <c r="I268">
        <v>28.174866488619955</v>
      </c>
    </row>
    <row r="269" spans="1:9" x14ac:dyDescent="0.2">
      <c r="A269">
        <v>259</v>
      </c>
      <c r="B269">
        <v>1583220.3679534332</v>
      </c>
      <c r="C269">
        <v>136189.13977664211</v>
      </c>
      <c r="D269">
        <v>96909.601753342329</v>
      </c>
      <c r="E269">
        <v>165291.65633823766</v>
      </c>
      <c r="F269">
        <v>47443.268515724143</v>
      </c>
      <c r="G269">
        <v>10000</v>
      </c>
      <c r="H269">
        <v>435833.66638394626</v>
      </c>
      <c r="I269">
        <v>33.806926647993087</v>
      </c>
    </row>
    <row r="270" spans="1:9" x14ac:dyDescent="0.2">
      <c r="A270">
        <v>260</v>
      </c>
      <c r="B270">
        <v>1210934.707807591</v>
      </c>
      <c r="C270">
        <v>124294.48148628854</v>
      </c>
      <c r="D270">
        <v>87047.617873705443</v>
      </c>
      <c r="E270">
        <v>90216.076787284401</v>
      </c>
      <c r="F270">
        <v>42245.728392965837</v>
      </c>
      <c r="G270">
        <v>10000</v>
      </c>
      <c r="H270">
        <v>333803.90454024426</v>
      </c>
      <c r="I270">
        <v>38.838146627956341</v>
      </c>
    </row>
    <row r="271" spans="1:9" x14ac:dyDescent="0.2">
      <c r="A271">
        <v>261</v>
      </c>
      <c r="B271">
        <v>1277672.1094252747</v>
      </c>
      <c r="C271">
        <v>112189.250160336</v>
      </c>
      <c r="D271">
        <v>94041.17616800392</v>
      </c>
      <c r="E271">
        <v>112102.77592793424</v>
      </c>
      <c r="F271">
        <v>43760.961410395445</v>
      </c>
      <c r="G271">
        <v>10000</v>
      </c>
      <c r="H271">
        <v>352094.16366666963</v>
      </c>
      <c r="I271">
        <v>27.936454006834602</v>
      </c>
    </row>
    <row r="272" spans="1:9" x14ac:dyDescent="0.2">
      <c r="A272">
        <v>262</v>
      </c>
      <c r="B272">
        <v>1080999.9756878586</v>
      </c>
      <c r="C272">
        <v>88904.343212884793</v>
      </c>
      <c r="D272">
        <v>25979.122113628466</v>
      </c>
      <c r="E272">
        <v>147124.57623693228</v>
      </c>
      <c r="F272">
        <v>46185.547585633773</v>
      </c>
      <c r="G272">
        <v>10000</v>
      </c>
      <c r="H272">
        <v>298193.58914907929</v>
      </c>
      <c r="I272">
        <v>34.44678958070844</v>
      </c>
    </row>
    <row r="273" spans="1:9" x14ac:dyDescent="0.2">
      <c r="A273">
        <v>263</v>
      </c>
      <c r="B273">
        <v>1170681.0368205339</v>
      </c>
      <c r="C273">
        <v>110653.31011158675</v>
      </c>
      <c r="D273">
        <v>75581.881829355698</v>
      </c>
      <c r="E273">
        <v>103379.61640404091</v>
      </c>
      <c r="F273">
        <v>43157.050366433599</v>
      </c>
      <c r="G273">
        <v>10000</v>
      </c>
      <c r="H273">
        <v>322771.85871141695</v>
      </c>
      <c r="I273">
        <v>30.815828564022077</v>
      </c>
    </row>
    <row r="274" spans="1:9" x14ac:dyDescent="0.2">
      <c r="A274">
        <v>264</v>
      </c>
      <c r="B274">
        <v>1751563.7332937252</v>
      </c>
      <c r="C274">
        <v>119554.17313476154</v>
      </c>
      <c r="D274">
        <v>128968.84381269845</v>
      </c>
      <c r="E274">
        <v>194015.51083038273</v>
      </c>
      <c r="F274">
        <v>49431.843057488033</v>
      </c>
      <c r="G274">
        <v>10000</v>
      </c>
      <c r="H274">
        <v>481970.37083533074</v>
      </c>
      <c r="I274">
        <v>37.080397559724048</v>
      </c>
    </row>
    <row r="275" spans="1:9" x14ac:dyDescent="0.2">
      <c r="A275">
        <v>265</v>
      </c>
      <c r="B275">
        <v>1614161.2593748048</v>
      </c>
      <c r="C275">
        <v>116774.60465465309</v>
      </c>
      <c r="D275">
        <v>143554.46659588706</v>
      </c>
      <c r="E275">
        <v>147755.14910129469</v>
      </c>
      <c r="F275">
        <v>46229.202630089632</v>
      </c>
      <c r="G275">
        <v>10000</v>
      </c>
      <c r="H275">
        <v>444313.42298192449</v>
      </c>
      <c r="I275">
        <v>26.015929382721701</v>
      </c>
    </row>
    <row r="276" spans="1:9" x14ac:dyDescent="0.2">
      <c r="A276">
        <v>266</v>
      </c>
      <c r="B276">
        <v>1370378.7312980068</v>
      </c>
      <c r="C276">
        <v>114424.71178122071</v>
      </c>
      <c r="D276">
        <v>64348.690518424854</v>
      </c>
      <c r="E276">
        <v>161544.38354515407</v>
      </c>
      <c r="F276">
        <v>47183.841937741439</v>
      </c>
      <c r="G276">
        <v>10000</v>
      </c>
      <c r="H276">
        <v>377501.62778254104</v>
      </c>
      <c r="I276">
        <v>39.105311851997484</v>
      </c>
    </row>
    <row r="277" spans="1:9" x14ac:dyDescent="0.2">
      <c r="A277">
        <v>267</v>
      </c>
      <c r="B277">
        <v>951354.23552468629</v>
      </c>
      <c r="C277">
        <v>79331.913756127629</v>
      </c>
      <c r="D277">
        <v>71495.657909099857</v>
      </c>
      <c r="E277">
        <v>80277.248461270457</v>
      </c>
      <c r="F277">
        <v>41557.655662703342</v>
      </c>
      <c r="G277">
        <v>10000</v>
      </c>
      <c r="H277">
        <v>262662.47578920127</v>
      </c>
      <c r="I277">
        <v>30.332418183897524</v>
      </c>
    </row>
    <row r="278" spans="1:9" x14ac:dyDescent="0.2">
      <c r="A278">
        <v>268</v>
      </c>
      <c r="B278">
        <v>1239002.6854432824</v>
      </c>
      <c r="C278">
        <v>101604.14658040518</v>
      </c>
      <c r="D278">
        <v>82110.846037569834</v>
      </c>
      <c r="E278">
        <v>123248.70613191881</v>
      </c>
      <c r="F278">
        <v>44532.602732209765</v>
      </c>
      <c r="G278">
        <v>10000</v>
      </c>
      <c r="H278">
        <v>341496.30148210359</v>
      </c>
      <c r="I278">
        <v>50.581359163120872</v>
      </c>
    </row>
    <row r="279" spans="1:9" x14ac:dyDescent="0.2">
      <c r="A279">
        <v>269</v>
      </c>
      <c r="B279">
        <v>1406187.3255836922</v>
      </c>
      <c r="C279">
        <v>139946.04931056875</v>
      </c>
      <c r="D279">
        <v>73976.797624424449</v>
      </c>
      <c r="E279">
        <v>137849.1897357374</v>
      </c>
      <c r="F279">
        <v>45543.405443243355</v>
      </c>
      <c r="G279">
        <v>10000</v>
      </c>
      <c r="H279">
        <v>387315.4421139739</v>
      </c>
      <c r="I279">
        <v>28.6787134431328</v>
      </c>
    </row>
    <row r="280" spans="1:9" x14ac:dyDescent="0.2">
      <c r="A280">
        <v>270</v>
      </c>
      <c r="B280">
        <v>1365738.9732455774</v>
      </c>
      <c r="C280">
        <v>104921.08011834227</v>
      </c>
      <c r="D280">
        <v>59596.126275415583</v>
      </c>
      <c r="E280">
        <v>173688.26287196053</v>
      </c>
      <c r="F280">
        <v>48024.572044981884</v>
      </c>
      <c r="G280">
        <v>10000</v>
      </c>
      <c r="H280">
        <v>376230.04131070024</v>
      </c>
      <c r="I280">
        <v>29.716528666575329</v>
      </c>
    </row>
    <row r="281" spans="1:9" x14ac:dyDescent="0.2">
      <c r="A281">
        <v>271</v>
      </c>
      <c r="B281">
        <v>938513.54103946313</v>
      </c>
      <c r="C281">
        <v>110778.66350943233</v>
      </c>
      <c r="D281">
        <v>43211.846707837023</v>
      </c>
      <c r="E281">
        <v>74027.803278725143</v>
      </c>
      <c r="F281">
        <v>41125.001765450201</v>
      </c>
      <c r="G281">
        <v>10000</v>
      </c>
      <c r="H281">
        <v>259143.31526144466</v>
      </c>
      <c r="I281">
        <v>43.143294583486551</v>
      </c>
    </row>
    <row r="282" spans="1:9" x14ac:dyDescent="0.2">
      <c r="A282">
        <v>272</v>
      </c>
      <c r="B282">
        <v>1418608.9907464539</v>
      </c>
      <c r="C282">
        <v>87797.078867918914</v>
      </c>
      <c r="D282">
        <v>132748.75424948963</v>
      </c>
      <c r="E282">
        <v>134838.92644918335</v>
      </c>
      <c r="F282">
        <v>45335.00260032808</v>
      </c>
      <c r="G282">
        <v>10000</v>
      </c>
      <c r="H282">
        <v>390719.76216692</v>
      </c>
      <c r="I282">
        <v>39.156754964340024</v>
      </c>
    </row>
    <row r="283" spans="1:9" x14ac:dyDescent="0.2">
      <c r="A283">
        <v>273</v>
      </c>
      <c r="B283">
        <v>1086386.309886433</v>
      </c>
      <c r="C283">
        <v>113206.55610312948</v>
      </c>
      <c r="D283">
        <v>121767.16389124368</v>
      </c>
      <c r="E283">
        <v>36190.564013473093</v>
      </c>
      <c r="F283">
        <v>38505.500585548143</v>
      </c>
      <c r="G283">
        <v>10000</v>
      </c>
      <c r="H283">
        <v>299669.78459339438</v>
      </c>
      <c r="I283">
        <v>27.751039968663434</v>
      </c>
    </row>
    <row r="284" spans="1:9" x14ac:dyDescent="0.2">
      <c r="A284">
        <v>274</v>
      </c>
      <c r="B284">
        <v>1300543.859278549</v>
      </c>
      <c r="C284">
        <v>107736.76691192001</v>
      </c>
      <c r="D284">
        <v>124720.26183469073</v>
      </c>
      <c r="E284">
        <v>93436.740174514372</v>
      </c>
      <c r="F284">
        <v>42468.697396697149</v>
      </c>
      <c r="G284">
        <v>10000</v>
      </c>
      <c r="H284">
        <v>358362.46631782223</v>
      </c>
      <c r="I284">
        <v>31.111429389626299</v>
      </c>
    </row>
    <row r="285" spans="1:9" x14ac:dyDescent="0.2">
      <c r="A285">
        <v>275</v>
      </c>
      <c r="B285">
        <v>1146440.624668506</v>
      </c>
      <c r="C285">
        <v>162992.97745030353</v>
      </c>
      <c r="D285">
        <v>83520.382472182537</v>
      </c>
      <c r="E285">
        <v>40791.097264875229</v>
      </c>
      <c r="F285">
        <v>38823.999041414441</v>
      </c>
      <c r="G285">
        <v>10000</v>
      </c>
      <c r="H285">
        <v>316128.45622877579</v>
      </c>
      <c r="I285">
        <v>42.700399596360512</v>
      </c>
    </row>
    <row r="286" spans="1:9" x14ac:dyDescent="0.2">
      <c r="A286">
        <v>276</v>
      </c>
      <c r="B286">
        <v>855539.80993596348</v>
      </c>
      <c r="C286">
        <v>107301.33532397449</v>
      </c>
      <c r="D286">
        <v>74135.679205073509</v>
      </c>
      <c r="E286">
        <v>27090.749405488266</v>
      </c>
      <c r="F286">
        <v>37875.513420379961</v>
      </c>
      <c r="G286">
        <v>10000</v>
      </c>
      <c r="H286">
        <v>236403.27735491621</v>
      </c>
      <c r="I286">
        <v>38.522906784731845</v>
      </c>
    </row>
    <row r="287" spans="1:9" x14ac:dyDescent="0.2">
      <c r="A287">
        <v>277</v>
      </c>
      <c r="B287">
        <v>1428038.4972659822</v>
      </c>
      <c r="C287">
        <v>103335.51550837787</v>
      </c>
      <c r="D287">
        <v>109215.58552538959</v>
      </c>
      <c r="E287">
        <v>144732.96632314136</v>
      </c>
      <c r="F287">
        <v>46019.974591602091</v>
      </c>
      <c r="G287">
        <v>10000</v>
      </c>
      <c r="H287">
        <v>393304.04194851092</v>
      </c>
      <c r="I287">
        <v>39.011981843779864</v>
      </c>
    </row>
    <row r="288" spans="1:9" x14ac:dyDescent="0.2">
      <c r="A288">
        <v>278</v>
      </c>
      <c r="B288">
        <v>1462732.1285103925</v>
      </c>
      <c r="C288">
        <v>120863.27631385735</v>
      </c>
      <c r="D288">
        <v>82620.386855257224</v>
      </c>
      <c r="E288">
        <v>162105.90629451469</v>
      </c>
      <c r="F288">
        <v>47222.716589620242</v>
      </c>
      <c r="G288">
        <v>10000</v>
      </c>
      <c r="H288">
        <v>402812.2860532495</v>
      </c>
      <c r="I288">
        <v>28.191633788351414</v>
      </c>
    </row>
    <row r="289" spans="1:9" x14ac:dyDescent="0.2">
      <c r="A289">
        <v>279</v>
      </c>
      <c r="B289">
        <v>1835042.5224277843</v>
      </c>
      <c r="C289">
        <v>164593.3877347685</v>
      </c>
      <c r="D289">
        <v>137736.24487379679</v>
      </c>
      <c r="E289">
        <v>165089.89357785371</v>
      </c>
      <c r="F289">
        <v>47429.300324620643</v>
      </c>
      <c r="G289">
        <v>10000</v>
      </c>
      <c r="H289">
        <v>504848.82651103957</v>
      </c>
      <c r="I289">
        <v>50.562139100194941</v>
      </c>
    </row>
    <row r="290" spans="1:9" x14ac:dyDescent="0.2">
      <c r="A290">
        <v>280</v>
      </c>
      <c r="B290">
        <v>1571400.3216942288</v>
      </c>
      <c r="C290">
        <v>140937.50572803346</v>
      </c>
      <c r="D290">
        <v>67462.627809376601</v>
      </c>
      <c r="E290">
        <v>185361.38319090905</v>
      </c>
      <c r="F290">
        <v>48832.711143986009</v>
      </c>
      <c r="G290">
        <v>10000</v>
      </c>
      <c r="H290">
        <v>432594.22787230514</v>
      </c>
      <c r="I290">
        <v>35.432832438756208</v>
      </c>
    </row>
    <row r="291" spans="1:9" x14ac:dyDescent="0.2">
      <c r="A291">
        <v>281</v>
      </c>
      <c r="B291">
        <v>1172342.2284691506</v>
      </c>
      <c r="C291">
        <v>140657.33340888633</v>
      </c>
      <c r="D291">
        <v>68817.687928719562</v>
      </c>
      <c r="E291">
        <v>82070.317494407325</v>
      </c>
      <c r="F291">
        <v>41681.791211151278</v>
      </c>
      <c r="G291">
        <v>10000</v>
      </c>
      <c r="H291">
        <v>323227.13004316448</v>
      </c>
      <c r="I291">
        <v>29.935302477040295</v>
      </c>
    </row>
    <row r="292" spans="1:9" x14ac:dyDescent="0.2">
      <c r="A292">
        <v>282</v>
      </c>
      <c r="B292">
        <v>1039797.6210585595</v>
      </c>
      <c r="C292">
        <v>89362.770976512402</v>
      </c>
      <c r="D292">
        <v>98483.328762712918</v>
      </c>
      <c r="E292">
        <v>68325.235771449559</v>
      </c>
      <c r="F292">
        <v>40730.20863033113</v>
      </c>
      <c r="G292">
        <v>10000</v>
      </c>
      <c r="H292">
        <v>286901.54414100602</v>
      </c>
      <c r="I292">
        <v>39.488921862869645</v>
      </c>
    </row>
    <row r="293" spans="1:9" x14ac:dyDescent="0.2">
      <c r="A293">
        <v>283</v>
      </c>
      <c r="B293">
        <v>1493867.0210206751</v>
      </c>
      <c r="C293">
        <v>166222.03673720514</v>
      </c>
      <c r="D293">
        <v>42992.707889531244</v>
      </c>
      <c r="E293">
        <v>164726.33563556906</v>
      </c>
      <c r="F293">
        <v>47404.130928616316</v>
      </c>
      <c r="G293">
        <v>10000</v>
      </c>
      <c r="H293">
        <v>411345.21119092178</v>
      </c>
      <c r="I293">
        <v>39.511457162245776</v>
      </c>
    </row>
    <row r="294" spans="1:9" x14ac:dyDescent="0.2">
      <c r="A294">
        <v>284</v>
      </c>
      <c r="B294">
        <v>1388806.6143675745</v>
      </c>
      <c r="C294">
        <v>87889.880883810096</v>
      </c>
      <c r="D294">
        <v>80123.332301978968</v>
      </c>
      <c r="E294">
        <v>176331.26801984457</v>
      </c>
      <c r="F294">
        <v>48207.549324450774</v>
      </c>
      <c r="G294">
        <v>10000</v>
      </c>
      <c r="H294">
        <v>382552.03053008439</v>
      </c>
      <c r="I294">
        <v>38.229729145545221</v>
      </c>
    </row>
    <row r="295" spans="1:9" x14ac:dyDescent="0.2">
      <c r="A295">
        <v>285</v>
      </c>
      <c r="B295">
        <v>1222589.2122354636</v>
      </c>
      <c r="C295">
        <v>113964.00232986767</v>
      </c>
      <c r="D295">
        <v>140372.08309324356</v>
      </c>
      <c r="E295">
        <v>52993.133336576037</v>
      </c>
      <c r="F295">
        <v>39668.755384839882</v>
      </c>
      <c r="G295">
        <v>10000</v>
      </c>
      <c r="H295">
        <v>336997.97414452716</v>
      </c>
      <c r="I295">
        <v>29.061287884620999</v>
      </c>
    </row>
    <row r="296" spans="1:9" x14ac:dyDescent="0.2">
      <c r="A296">
        <v>286</v>
      </c>
      <c r="B296">
        <v>1102193.4184861036</v>
      </c>
      <c r="C296">
        <v>134079.75161140744</v>
      </c>
      <c r="D296">
        <v>112108.36041531271</v>
      </c>
      <c r="E296">
        <v>29753.930260840461</v>
      </c>
      <c r="F296">
        <v>38059.887479596648</v>
      </c>
      <c r="G296">
        <v>10000</v>
      </c>
      <c r="H296">
        <v>304001.92976715724</v>
      </c>
      <c r="I296">
        <v>42.538258710754718</v>
      </c>
    </row>
    <row r="297" spans="1:9" x14ac:dyDescent="0.2">
      <c r="A297">
        <v>287</v>
      </c>
      <c r="B297">
        <v>1284823.8135180008</v>
      </c>
      <c r="C297">
        <v>139236.72485258288</v>
      </c>
      <c r="D297">
        <v>131353.92826032848</v>
      </c>
      <c r="E297">
        <v>53742.868608253986</v>
      </c>
      <c r="F297">
        <v>39720.660134417587</v>
      </c>
      <c r="G297">
        <v>10000</v>
      </c>
      <c r="H297">
        <v>354054.18185558298</v>
      </c>
      <c r="I297">
        <v>41.688619699164164</v>
      </c>
    </row>
    <row r="298" spans="1:9" x14ac:dyDescent="0.2">
      <c r="A298">
        <v>288</v>
      </c>
      <c r="B298">
        <v>1616960.3576812244</v>
      </c>
      <c r="C298">
        <v>155242.16384395192</v>
      </c>
      <c r="D298">
        <v>56196.195836341933</v>
      </c>
      <c r="E298">
        <v>194197.73432830608</v>
      </c>
      <c r="F298">
        <v>49444.458530421194</v>
      </c>
      <c r="G298">
        <v>10000</v>
      </c>
      <c r="H298">
        <v>445080.55253902113</v>
      </c>
      <c r="I298">
        <v>36.624508637199227</v>
      </c>
    </row>
    <row r="299" spans="1:9" x14ac:dyDescent="0.2">
      <c r="A299">
        <v>289</v>
      </c>
      <c r="B299">
        <v>1473078.4962153165</v>
      </c>
      <c r="C299">
        <v>109032.1778262509</v>
      </c>
      <c r="D299">
        <v>73822.251669602541</v>
      </c>
      <c r="E299">
        <v>184051.39453540076</v>
      </c>
      <c r="F299">
        <v>48742.019621681589</v>
      </c>
      <c r="G299">
        <v>10000</v>
      </c>
      <c r="H299">
        <v>405647.84365293576</v>
      </c>
      <c r="I299">
        <v>40.861975063287971</v>
      </c>
    </row>
    <row r="300" spans="1:9" x14ac:dyDescent="0.2">
      <c r="A300">
        <v>290</v>
      </c>
      <c r="B300">
        <v>1529812.9601880072</v>
      </c>
      <c r="C300">
        <v>106087.55842493477</v>
      </c>
      <c r="D300">
        <v>118341.32543292971</v>
      </c>
      <c r="E300">
        <v>159710.87602658645</v>
      </c>
      <c r="F300">
        <v>47056.906801840603</v>
      </c>
      <c r="G300">
        <v>10000</v>
      </c>
      <c r="H300">
        <v>421196.66668629152</v>
      </c>
      <c r="I300">
        <v>28.793382477787837</v>
      </c>
    </row>
    <row r="301" spans="1:9" x14ac:dyDescent="0.2">
      <c r="A301">
        <v>291</v>
      </c>
      <c r="B301">
        <v>1451860.754508181</v>
      </c>
      <c r="C301">
        <v>136737.42031964491</v>
      </c>
      <c r="D301">
        <v>111847.40770574883</v>
      </c>
      <c r="E301">
        <v>117138.4318329059</v>
      </c>
      <c r="F301">
        <v>44109.583742278097</v>
      </c>
      <c r="G301">
        <v>10000</v>
      </c>
      <c r="H301">
        <v>399832.84360057773</v>
      </c>
      <c r="I301">
        <v>33.774010323072254</v>
      </c>
    </row>
    <row r="302" spans="1:9" x14ac:dyDescent="0.2">
      <c r="A302">
        <v>292</v>
      </c>
      <c r="B302">
        <v>1025381.7680666181</v>
      </c>
      <c r="C302">
        <v>140147.0123696767</v>
      </c>
      <c r="D302">
        <v>62885.00666139774</v>
      </c>
      <c r="E302">
        <v>50427.53473951076</v>
      </c>
      <c r="F302">
        <v>39491.137020427668</v>
      </c>
      <c r="G302">
        <v>10000</v>
      </c>
      <c r="H302">
        <v>282950.69079101284</v>
      </c>
      <c r="I302">
        <v>42.879841827352479</v>
      </c>
    </row>
    <row r="303" spans="1:9" x14ac:dyDescent="0.2">
      <c r="A303">
        <v>293</v>
      </c>
      <c r="B303">
        <v>1849951.4082298235</v>
      </c>
      <c r="C303">
        <v>150949.15347676189</v>
      </c>
      <c r="D303">
        <v>168154.29589010976</v>
      </c>
      <c r="E303">
        <v>153223.56717438682</v>
      </c>
      <c r="F303">
        <v>46607.785419765241</v>
      </c>
      <c r="G303">
        <v>10000</v>
      </c>
      <c r="H303">
        <v>508934.80196102365</v>
      </c>
      <c r="I303">
        <v>30.426445494961943</v>
      </c>
    </row>
    <row r="304" spans="1:9" x14ac:dyDescent="0.2">
      <c r="A304">
        <v>294</v>
      </c>
      <c r="B304">
        <v>991982.15371259116</v>
      </c>
      <c r="C304">
        <v>94931.64488615084</v>
      </c>
      <c r="D304">
        <v>63929.004658087222</v>
      </c>
      <c r="E304">
        <v>83177.964926637404</v>
      </c>
      <c r="F304">
        <v>41758.474494921051</v>
      </c>
      <c r="G304">
        <v>10000</v>
      </c>
      <c r="H304">
        <v>273797.08896579652</v>
      </c>
      <c r="I304">
        <v>31.475692353110617</v>
      </c>
    </row>
    <row r="305" spans="1:9" x14ac:dyDescent="0.2">
      <c r="A305">
        <v>295</v>
      </c>
      <c r="B305">
        <v>1665345.9412365381</v>
      </c>
      <c r="C305">
        <v>123170.57310144522</v>
      </c>
      <c r="D305">
        <v>95276.239148478126</v>
      </c>
      <c r="E305">
        <v>200045.16277948231</v>
      </c>
      <c r="F305">
        <v>49849.280500118002</v>
      </c>
      <c r="G305">
        <v>10000</v>
      </c>
      <c r="H305">
        <v>458341.25552952365</v>
      </c>
      <c r="I305">
        <v>35.012703163857999</v>
      </c>
    </row>
    <row r="306" spans="1:9" x14ac:dyDescent="0.2">
      <c r="A306">
        <v>296</v>
      </c>
      <c r="B306">
        <v>824223.92416663561</v>
      </c>
      <c r="C306">
        <v>97000.086011888838</v>
      </c>
      <c r="D306">
        <v>55489.029739534868</v>
      </c>
      <c r="E306">
        <v>46137.498388476604</v>
      </c>
      <c r="F306">
        <v>39194.134503817608</v>
      </c>
      <c r="G306">
        <v>10000</v>
      </c>
      <c r="H306">
        <v>227820.7486437179</v>
      </c>
      <c r="I306">
        <v>32.982468831486585</v>
      </c>
    </row>
    <row r="307" spans="1:9" x14ac:dyDescent="0.2">
      <c r="A307">
        <v>297</v>
      </c>
      <c r="B307">
        <v>1514044.7625881736</v>
      </c>
      <c r="C307">
        <v>117574.52499062348</v>
      </c>
      <c r="D307">
        <v>134672.22105619105</v>
      </c>
      <c r="E307">
        <v>129652.49740676556</v>
      </c>
      <c r="F307">
        <v>44975.942128160692</v>
      </c>
      <c r="G307">
        <v>10000</v>
      </c>
      <c r="H307">
        <v>416875.18558174075</v>
      </c>
      <c r="I307">
        <v>28.118719416917273</v>
      </c>
    </row>
    <row r="308" spans="1:9" x14ac:dyDescent="0.2">
      <c r="A308">
        <v>298</v>
      </c>
      <c r="B308">
        <v>1032862.0220279336</v>
      </c>
      <c r="C308">
        <v>75631.32439789192</v>
      </c>
      <c r="D308">
        <v>148505.79592078627</v>
      </c>
      <c r="E308">
        <v>32606.274585222865</v>
      </c>
      <c r="F308">
        <v>38257.35747128466</v>
      </c>
      <c r="G308">
        <v>10000</v>
      </c>
      <c r="H308">
        <v>285000.75237518572</v>
      </c>
      <c r="I308">
        <v>37.05700456388756</v>
      </c>
    </row>
    <row r="309" spans="1:9" x14ac:dyDescent="0.2">
      <c r="A309">
        <v>299</v>
      </c>
      <c r="B309">
        <v>1513262.0258934519</v>
      </c>
      <c r="C309">
        <v>105785.28343690302</v>
      </c>
      <c r="D309">
        <v>95997.581992082851</v>
      </c>
      <c r="E309">
        <v>176648.30300773017</v>
      </c>
      <c r="F309">
        <v>48229.497900535163</v>
      </c>
      <c r="G309">
        <v>10000</v>
      </c>
      <c r="H309">
        <v>416660.6663372512</v>
      </c>
      <c r="I309">
        <v>41.583756781736199</v>
      </c>
    </row>
    <row r="310" spans="1:9" x14ac:dyDescent="0.2">
      <c r="A310">
        <v>300</v>
      </c>
      <c r="B310">
        <v>1518014.5026841573</v>
      </c>
      <c r="C310">
        <v>146377.54556844709</v>
      </c>
      <c r="D310">
        <v>52735.726017006309</v>
      </c>
      <c r="E310">
        <v>180363.19082843116</v>
      </c>
      <c r="F310">
        <v>48486.682441968311</v>
      </c>
      <c r="G310">
        <v>10000</v>
      </c>
      <c r="H310">
        <v>417963.14485585288</v>
      </c>
      <c r="I310">
        <v>41.938550957846786</v>
      </c>
    </row>
    <row r="311" spans="1:9" x14ac:dyDescent="0.2">
      <c r="A311">
        <v>301</v>
      </c>
      <c r="B311">
        <v>1181907.165520164</v>
      </c>
      <c r="C311">
        <v>130610.69246087079</v>
      </c>
      <c r="D311">
        <v>140143.6731869058</v>
      </c>
      <c r="E311">
        <v>27210.366111244763</v>
      </c>
      <c r="F311">
        <v>37883.794576932334</v>
      </c>
      <c r="G311">
        <v>10000</v>
      </c>
      <c r="H311">
        <v>325848.52633595368</v>
      </c>
      <c r="I311">
        <v>34.132767133089601</v>
      </c>
    </row>
    <row r="312" spans="1:9" x14ac:dyDescent="0.2">
      <c r="A312">
        <v>302</v>
      </c>
      <c r="B312">
        <v>1322023.4527845532</v>
      </c>
      <c r="C312">
        <v>135976.44988634225</v>
      </c>
      <c r="D312">
        <v>80576.828526114477</v>
      </c>
      <c r="E312">
        <v>113816.35786709473</v>
      </c>
      <c r="F312">
        <v>43879.594006183484</v>
      </c>
      <c r="G312">
        <v>10000</v>
      </c>
      <c r="H312">
        <v>364249.23028573499</v>
      </c>
      <c r="I312">
        <v>35.424600648246411</v>
      </c>
    </row>
    <row r="313" spans="1:9" x14ac:dyDescent="0.2">
      <c r="A313">
        <v>303</v>
      </c>
      <c r="B313">
        <v>1660895.7670886149</v>
      </c>
      <c r="C313">
        <v>150032.32537214993</v>
      </c>
      <c r="D313">
        <v>115969.38175136085</v>
      </c>
      <c r="E313">
        <v>154428.70205223272</v>
      </c>
      <c r="F313">
        <v>46691.217834385345</v>
      </c>
      <c r="G313">
        <v>10000</v>
      </c>
      <c r="H313">
        <v>457121.62701012881</v>
      </c>
      <c r="I313">
        <v>29.535735195102284</v>
      </c>
    </row>
    <row r="314" spans="1:9" x14ac:dyDescent="0.2">
      <c r="A314">
        <v>304</v>
      </c>
      <c r="B314">
        <v>1331728.9104877613</v>
      </c>
      <c r="C314">
        <v>118792.17122311417</v>
      </c>
      <c r="D314">
        <v>90290.582192876769</v>
      </c>
      <c r="E314">
        <v>123290.86337725594</v>
      </c>
      <c r="F314">
        <v>44535.5213107331</v>
      </c>
      <c r="G314">
        <v>10000</v>
      </c>
      <c r="H314">
        <v>366909.13810397999</v>
      </c>
      <c r="I314">
        <v>33.55304169049586</v>
      </c>
    </row>
    <row r="315" spans="1:9" x14ac:dyDescent="0.2">
      <c r="A315">
        <v>305</v>
      </c>
      <c r="B315">
        <v>1510082.4158343161</v>
      </c>
      <c r="C315">
        <v>157102.48609221025</v>
      </c>
      <c r="D315">
        <v>118193.86592499816</v>
      </c>
      <c r="E315">
        <v>107079.69114566963</v>
      </c>
      <c r="F315">
        <v>43413.209387007897</v>
      </c>
      <c r="G315">
        <v>10000</v>
      </c>
      <c r="H315">
        <v>415789.25254988589</v>
      </c>
      <c r="I315">
        <v>42.449075795417073</v>
      </c>
    </row>
    <row r="316" spans="1:9" x14ac:dyDescent="0.2">
      <c r="A316">
        <v>306</v>
      </c>
      <c r="B316">
        <v>1481684.8459565251</v>
      </c>
      <c r="C316">
        <v>128067.77744816354</v>
      </c>
      <c r="D316">
        <v>74175.345654357894</v>
      </c>
      <c r="E316">
        <v>168124.04637724467</v>
      </c>
      <c r="F316">
        <v>47639.357056886169</v>
      </c>
      <c r="G316">
        <v>10000</v>
      </c>
      <c r="H316">
        <v>408006.52653665229</v>
      </c>
      <c r="I316">
        <v>40.402244690883265</v>
      </c>
    </row>
    <row r="317" spans="1:9" x14ac:dyDescent="0.2">
      <c r="A317">
        <v>307</v>
      </c>
      <c r="B317">
        <v>1319141.8571103858</v>
      </c>
      <c r="C317">
        <v>120626.89340107744</v>
      </c>
      <c r="D317">
        <v>69979.937816675607</v>
      </c>
      <c r="E317">
        <v>137344.2144133636</v>
      </c>
      <c r="F317">
        <v>45508.445613232863</v>
      </c>
      <c r="G317">
        <v>10000</v>
      </c>
      <c r="H317">
        <v>363459.49124434951</v>
      </c>
      <c r="I317">
        <v>37.250529307708412</v>
      </c>
    </row>
    <row r="318" spans="1:9" x14ac:dyDescent="0.2">
      <c r="A318">
        <v>308</v>
      </c>
      <c r="B318">
        <v>1216975.7187567453</v>
      </c>
      <c r="C318">
        <v>105893.90008089876</v>
      </c>
      <c r="D318">
        <v>65069.947434339185</v>
      </c>
      <c r="E318">
        <v>129528.32933180625</v>
      </c>
      <c r="F318">
        <v>44967.345876817351</v>
      </c>
      <c r="G318">
        <v>10000</v>
      </c>
      <c r="H318">
        <v>335459.52272386156</v>
      </c>
      <c r="I318">
        <v>28.603565493520417</v>
      </c>
    </row>
    <row r="319" spans="1:9" x14ac:dyDescent="0.2">
      <c r="A319">
        <v>309</v>
      </c>
      <c r="B319">
        <v>1370120.8586992379</v>
      </c>
      <c r="C319">
        <v>95398.247340623187</v>
      </c>
      <c r="D319">
        <v>151389.05038189443</v>
      </c>
      <c r="E319">
        <v>97868.168133305793</v>
      </c>
      <c r="F319">
        <v>42775.488563075014</v>
      </c>
      <c r="G319">
        <v>10000</v>
      </c>
      <c r="H319">
        <v>377430.95441889844</v>
      </c>
      <c r="I319">
        <v>36.261229651139921</v>
      </c>
    </row>
    <row r="320" spans="1:9" x14ac:dyDescent="0.2">
      <c r="A320">
        <v>310</v>
      </c>
      <c r="B320">
        <v>1257295.766939651</v>
      </c>
      <c r="C320">
        <v>118049.35325997768</v>
      </c>
      <c r="D320">
        <v>85586.817679695552</v>
      </c>
      <c r="E320">
        <v>109306.2344596708</v>
      </c>
      <c r="F320">
        <v>43567.35469336182</v>
      </c>
      <c r="G320">
        <v>10000</v>
      </c>
      <c r="H320">
        <v>346509.76009270584</v>
      </c>
      <c r="I320">
        <v>34.347804677880141</v>
      </c>
    </row>
    <row r="321" spans="1:9" x14ac:dyDescent="0.2">
      <c r="A321">
        <v>311</v>
      </c>
      <c r="B321">
        <v>1026346.1062924545</v>
      </c>
      <c r="C321">
        <v>98428.916818974685</v>
      </c>
      <c r="D321">
        <v>73158.150957355741</v>
      </c>
      <c r="E321">
        <v>80083.659207852092</v>
      </c>
      <c r="F321">
        <v>41544.253329774372</v>
      </c>
      <c r="G321">
        <v>10000</v>
      </c>
      <c r="H321">
        <v>283214.98031395691</v>
      </c>
      <c r="I321">
        <v>27.247256797369054</v>
      </c>
    </row>
    <row r="322" spans="1:9" x14ac:dyDescent="0.2">
      <c r="A322">
        <v>312</v>
      </c>
      <c r="B322">
        <v>1616373.2095652262</v>
      </c>
      <c r="C322">
        <v>86842.186131258248</v>
      </c>
      <c r="D322">
        <v>117506.94298025993</v>
      </c>
      <c r="E322">
        <v>200677.45333353331</v>
      </c>
      <c r="F322">
        <v>49893.05446155231</v>
      </c>
      <c r="G322">
        <v>10000</v>
      </c>
      <c r="H322">
        <v>444919.63690660382</v>
      </c>
      <c r="I322">
        <v>34.109343395265725</v>
      </c>
    </row>
    <row r="323" spans="1:9" x14ac:dyDescent="0.2">
      <c r="A323">
        <v>313</v>
      </c>
      <c r="B323">
        <v>1222879.9950425776</v>
      </c>
      <c r="C323">
        <v>106693.48695972259</v>
      </c>
      <c r="D323">
        <v>144652.37400022824</v>
      </c>
      <c r="E323">
        <v>55864.279013303232</v>
      </c>
      <c r="F323">
        <v>39867.527008613302</v>
      </c>
      <c r="G323">
        <v>10000</v>
      </c>
      <c r="H323">
        <v>337077.66698186734</v>
      </c>
      <c r="I323">
        <v>32.825649399309839</v>
      </c>
    </row>
    <row r="324" spans="1:9" x14ac:dyDescent="0.2">
      <c r="A324">
        <v>314</v>
      </c>
      <c r="B324">
        <v>813626.15076090314</v>
      </c>
      <c r="C324">
        <v>93600.106881635074</v>
      </c>
      <c r="D324">
        <v>53191.910895903413</v>
      </c>
      <c r="E324">
        <v>48749.319362038143</v>
      </c>
      <c r="F324">
        <v>39374.952878910328</v>
      </c>
      <c r="G324">
        <v>10000</v>
      </c>
      <c r="H324">
        <v>224916.29001848694</v>
      </c>
      <c r="I324">
        <v>36.691926917196206</v>
      </c>
    </row>
    <row r="325" spans="1:9" x14ac:dyDescent="0.2">
      <c r="A325">
        <v>315</v>
      </c>
      <c r="B325">
        <v>1034660.0963688926</v>
      </c>
      <c r="C325">
        <v>125636.18349115054</v>
      </c>
      <c r="D325">
        <v>94714.389124889742</v>
      </c>
      <c r="E325">
        <v>36608.528965133424</v>
      </c>
      <c r="F325">
        <v>38534.436620663088</v>
      </c>
      <c r="G325">
        <v>10000</v>
      </c>
      <c r="H325">
        <v>285493.53820183681</v>
      </c>
      <c r="I325">
        <v>33.232497536215924</v>
      </c>
    </row>
    <row r="326" spans="1:9" x14ac:dyDescent="0.2">
      <c r="A326">
        <v>316</v>
      </c>
      <c r="B326">
        <v>1424566.6865835532</v>
      </c>
      <c r="C326">
        <v>147634.52144534196</v>
      </c>
      <c r="D326">
        <v>98845.684769761298</v>
      </c>
      <c r="E326">
        <v>112110.82208553072</v>
      </c>
      <c r="F326">
        <v>43761.518452075201</v>
      </c>
      <c r="G326">
        <v>10000</v>
      </c>
      <c r="H326">
        <v>392352.5467527092</v>
      </c>
      <c r="I326">
        <v>30.481094908789458</v>
      </c>
    </row>
    <row r="327" spans="1:9" x14ac:dyDescent="0.2">
      <c r="A327">
        <v>317</v>
      </c>
      <c r="B327">
        <v>1082781.1415602001</v>
      </c>
      <c r="C327">
        <v>75564.765544822731</v>
      </c>
      <c r="D327">
        <v>31675.449134168095</v>
      </c>
      <c r="E327">
        <v>154729.48503759253</v>
      </c>
      <c r="F327">
        <v>46712.041271833325</v>
      </c>
      <c r="G327">
        <v>10000</v>
      </c>
      <c r="H327">
        <v>298681.74098841671</v>
      </c>
      <c r="I327">
        <v>38.787575415109188</v>
      </c>
    </row>
    <row r="328" spans="1:9" x14ac:dyDescent="0.2">
      <c r="A328">
        <v>318</v>
      </c>
      <c r="B328">
        <v>1147088.7994355909</v>
      </c>
      <c r="C328">
        <v>114208.07378930766</v>
      </c>
      <c r="D328">
        <v>116709.46220217721</v>
      </c>
      <c r="E328">
        <v>55543.258510574335</v>
      </c>
      <c r="F328">
        <v>39845.302512270529</v>
      </c>
      <c r="G328">
        <v>10000</v>
      </c>
      <c r="H328">
        <v>316306.09701432975</v>
      </c>
      <c r="I328">
        <v>39.315700772599733</v>
      </c>
    </row>
    <row r="329" spans="1:9" x14ac:dyDescent="0.2">
      <c r="A329">
        <v>319</v>
      </c>
      <c r="B329">
        <v>1005253.9475038943</v>
      </c>
      <c r="C329">
        <v>120365.95755866286</v>
      </c>
      <c r="D329">
        <v>80287.329514548794</v>
      </c>
      <c r="E329">
        <v>47493.125238814449</v>
      </c>
      <c r="F329">
        <v>39287.985593456382</v>
      </c>
      <c r="G329">
        <v>10000</v>
      </c>
      <c r="H329">
        <v>277434.3979054825</v>
      </c>
      <c r="I329">
        <v>36.148393817420853</v>
      </c>
    </row>
    <row r="330" spans="1:9" x14ac:dyDescent="0.2">
      <c r="A330">
        <v>320</v>
      </c>
      <c r="B330">
        <v>1534581.1446026193</v>
      </c>
      <c r="C330">
        <v>104094.37816045113</v>
      </c>
      <c r="D330">
        <v>147247.65312352544</v>
      </c>
      <c r="E330">
        <v>135762.47801533036</v>
      </c>
      <c r="F330">
        <v>45398.940785676714</v>
      </c>
      <c r="G330">
        <v>10000</v>
      </c>
      <c r="H330">
        <v>422503.4500849836</v>
      </c>
      <c r="I330">
        <v>30.067797056457589</v>
      </c>
    </row>
    <row r="331" spans="1:9" x14ac:dyDescent="0.2">
      <c r="A331">
        <v>321</v>
      </c>
      <c r="B331">
        <v>1635388.7745032937</v>
      </c>
      <c r="C331">
        <v>155949.15864040318</v>
      </c>
      <c r="D331">
        <v>66329.712739812894</v>
      </c>
      <c r="E331">
        <v>188782.66132710598</v>
      </c>
      <c r="F331">
        <v>49069.568861107335</v>
      </c>
      <c r="G331">
        <v>10000</v>
      </c>
      <c r="H331">
        <v>450131.10156842938</v>
      </c>
      <c r="I331">
        <v>30.938819653700953</v>
      </c>
    </row>
    <row r="332" spans="1:9" x14ac:dyDescent="0.2">
      <c r="A332">
        <v>322</v>
      </c>
      <c r="B332">
        <v>1325752.4875404283</v>
      </c>
      <c r="C332">
        <v>149391.39309294146</v>
      </c>
      <c r="D332">
        <v>85928.451265444935</v>
      </c>
      <c r="E332">
        <v>97220.712068282563</v>
      </c>
      <c r="F332">
        <v>42730.664681650334</v>
      </c>
      <c r="G332">
        <v>10000</v>
      </c>
      <c r="H332">
        <v>365271.22110831935</v>
      </c>
      <c r="I332">
        <v>39.956077092867517</v>
      </c>
    </row>
    <row r="333" spans="1:9" x14ac:dyDescent="0.2">
      <c r="A333">
        <v>323</v>
      </c>
      <c r="B333">
        <v>1008125.0259169604</v>
      </c>
      <c r="C333">
        <v>134349.50091355661</v>
      </c>
      <c r="D333">
        <v>73135.110492935128</v>
      </c>
      <c r="E333">
        <v>41840.025965009772</v>
      </c>
      <c r="F333">
        <v>38896.617182192982</v>
      </c>
      <c r="G333">
        <v>10000</v>
      </c>
      <c r="H333">
        <v>278221.25455369445</v>
      </c>
      <c r="I333">
        <v>36.993339563919605</v>
      </c>
    </row>
    <row r="334" spans="1:9" x14ac:dyDescent="0.2">
      <c r="A334">
        <v>324</v>
      </c>
      <c r="B334">
        <v>1647974.3527869242</v>
      </c>
      <c r="C334">
        <v>121899.85036405764</v>
      </c>
      <c r="D334">
        <v>87053.614841658229</v>
      </c>
      <c r="E334">
        <v>204471.18175514729</v>
      </c>
      <c r="F334">
        <v>50155.69719843327</v>
      </c>
      <c r="G334">
        <v>10000</v>
      </c>
      <c r="H334">
        <v>453580.34415929642</v>
      </c>
      <c r="I334">
        <v>39.609626039527903</v>
      </c>
    </row>
    <row r="335" spans="1:9" x14ac:dyDescent="0.2">
      <c r="A335">
        <v>325</v>
      </c>
      <c r="B335">
        <v>1029145.590169141</v>
      </c>
      <c r="C335">
        <v>124848.28435414494</v>
      </c>
      <c r="D335">
        <v>92382.983941691535</v>
      </c>
      <c r="E335">
        <v>38112.396704704472</v>
      </c>
      <c r="F335">
        <v>38638.550541094926</v>
      </c>
      <c r="G335">
        <v>10000</v>
      </c>
      <c r="H335">
        <v>283982.21554163587</v>
      </c>
      <c r="I335">
        <v>34.788280229136817</v>
      </c>
    </row>
    <row r="336" spans="1:9" x14ac:dyDescent="0.2">
      <c r="A336">
        <v>326</v>
      </c>
      <c r="B336">
        <v>1268000.6159992465</v>
      </c>
      <c r="C336">
        <v>95745.037185058711</v>
      </c>
      <c r="D336">
        <v>95778.647256764234</v>
      </c>
      <c r="E336">
        <v>123378.30481307351</v>
      </c>
      <c r="F336">
        <v>44541.574948597394</v>
      </c>
      <c r="G336">
        <v>10000</v>
      </c>
      <c r="H336">
        <v>349443.56420349382</v>
      </c>
      <c r="I336">
        <v>33.790120152974509</v>
      </c>
    </row>
    <row r="337" spans="1:9" x14ac:dyDescent="0.2">
      <c r="A337">
        <v>327</v>
      </c>
      <c r="B337">
        <v>1613883.5675678619</v>
      </c>
      <c r="C337">
        <v>127597.86756390592</v>
      </c>
      <c r="D337">
        <v>121414.96878533895</v>
      </c>
      <c r="E337">
        <v>158267.50073528418</v>
      </c>
      <c r="F337">
        <v>46956.980820135053</v>
      </c>
      <c r="G337">
        <v>10000</v>
      </c>
      <c r="H337">
        <v>444237.31790466409</v>
      </c>
      <c r="I337">
        <v>44.544488476449899</v>
      </c>
    </row>
    <row r="338" spans="1:9" x14ac:dyDescent="0.2">
      <c r="A338">
        <v>328</v>
      </c>
      <c r="B338">
        <v>1061003.1983440018</v>
      </c>
      <c r="C338">
        <v>108948.38600207037</v>
      </c>
      <c r="D338">
        <v>92071.046931675242</v>
      </c>
      <c r="E338">
        <v>61440.223505510978</v>
      </c>
      <c r="F338">
        <v>40253.553934996919</v>
      </c>
      <c r="G338">
        <v>10000</v>
      </c>
      <c r="H338">
        <v>292713.21037425357</v>
      </c>
      <c r="I338">
        <v>41.974758703831405</v>
      </c>
    </row>
    <row r="339" spans="1:9" x14ac:dyDescent="0.2">
      <c r="A339">
        <v>329</v>
      </c>
      <c r="B339">
        <v>1098742.3976980413</v>
      </c>
      <c r="C339">
        <v>84173.851170643917</v>
      </c>
      <c r="D339">
        <v>74616.268645070566</v>
      </c>
      <c r="E339">
        <v>110608.50089790131</v>
      </c>
      <c r="F339">
        <v>43657.51160062394</v>
      </c>
      <c r="G339">
        <v>10000</v>
      </c>
      <c r="H339">
        <v>303056.13231423975</v>
      </c>
      <c r="I339">
        <v>29.005940317484207</v>
      </c>
    </row>
    <row r="340" spans="1:9" x14ac:dyDescent="0.2">
      <c r="A340">
        <v>330</v>
      </c>
      <c r="B340">
        <v>1104576.4387844724</v>
      </c>
      <c r="C340">
        <v>81003.103834182693</v>
      </c>
      <c r="D340">
        <v>162124.16534646682</v>
      </c>
      <c r="E340">
        <v>33227.40005015739</v>
      </c>
      <c r="F340">
        <v>38300.358465010897</v>
      </c>
      <c r="G340">
        <v>10000</v>
      </c>
      <c r="H340">
        <v>304655.02769581776</v>
      </c>
      <c r="I340">
        <v>41.679382182853793</v>
      </c>
    </row>
    <row r="341" spans="1:9" x14ac:dyDescent="0.2">
      <c r="A341">
        <v>331</v>
      </c>
      <c r="B341">
        <v>1378992.9185323319</v>
      </c>
      <c r="C341">
        <v>123347.09047606468</v>
      </c>
      <c r="D341">
        <v>57571.985123877224</v>
      </c>
      <c r="E341">
        <v>161745.61003177045</v>
      </c>
      <c r="F341">
        <v>47197.773002199487</v>
      </c>
      <c r="G341">
        <v>10000</v>
      </c>
      <c r="H341">
        <v>379862.4586339118</v>
      </c>
      <c r="I341">
        <v>34.044190568019275</v>
      </c>
    </row>
    <row r="342" spans="1:9" x14ac:dyDescent="0.2">
      <c r="A342">
        <v>332</v>
      </c>
      <c r="B342">
        <v>1268196.9125422998</v>
      </c>
      <c r="C342">
        <v>159075.3285914108</v>
      </c>
      <c r="D342">
        <v>92228.077818849546</v>
      </c>
      <c r="E342">
        <v>67519.526663212499</v>
      </c>
      <c r="F342">
        <v>40674.428768991638</v>
      </c>
      <c r="G342">
        <v>10000</v>
      </c>
      <c r="H342">
        <v>349497.36184246454</v>
      </c>
      <c r="I342">
        <v>29.978338087551059</v>
      </c>
    </row>
    <row r="343" spans="1:9" x14ac:dyDescent="0.2">
      <c r="A343">
        <v>333</v>
      </c>
      <c r="B343">
        <v>1251858.0399214034</v>
      </c>
      <c r="C343">
        <v>106466.70970411274</v>
      </c>
      <c r="D343">
        <v>126546.73955586983</v>
      </c>
      <c r="E343">
        <v>80437.294724357562</v>
      </c>
      <c r="F343">
        <v>41568.735788609374</v>
      </c>
      <c r="G343">
        <v>10000</v>
      </c>
      <c r="H343">
        <v>345019.47977294947</v>
      </c>
      <c r="I343">
        <v>35.732638239422599</v>
      </c>
    </row>
    <row r="344" spans="1:9" x14ac:dyDescent="0.2">
      <c r="A344">
        <v>334</v>
      </c>
      <c r="B344">
        <v>1582511.0733190083</v>
      </c>
      <c r="C344">
        <v>148873.83538373074</v>
      </c>
      <c r="D344">
        <v>56117.258350452554</v>
      </c>
      <c r="E344">
        <v>191397.57950584046</v>
      </c>
      <c r="F344">
        <v>49250.601658096646</v>
      </c>
      <c r="G344">
        <v>10000</v>
      </c>
      <c r="H344">
        <v>435639.27489812043</v>
      </c>
      <c r="I344">
        <v>54.973571861795264</v>
      </c>
    </row>
    <row r="345" spans="1:9" x14ac:dyDescent="0.2">
      <c r="A345">
        <v>335</v>
      </c>
      <c r="B345">
        <v>1518840.3620688785</v>
      </c>
      <c r="C345">
        <v>105996.75990804676</v>
      </c>
      <c r="D345">
        <v>113388.77875221992</v>
      </c>
      <c r="E345">
        <v>161615.19921697211</v>
      </c>
      <c r="F345">
        <v>47188.744561174986</v>
      </c>
      <c r="G345">
        <v>10000</v>
      </c>
      <c r="H345">
        <v>418189.48243841378</v>
      </c>
      <c r="I345">
        <v>47.180977083670172</v>
      </c>
    </row>
    <row r="346" spans="1:9" x14ac:dyDescent="0.2">
      <c r="A346">
        <v>336</v>
      </c>
      <c r="B346">
        <v>1352605.0864826599</v>
      </c>
      <c r="C346">
        <v>115350.6577696677</v>
      </c>
      <c r="D346">
        <v>37559.084828621846</v>
      </c>
      <c r="E346">
        <v>181177.71259024509</v>
      </c>
      <c r="F346">
        <v>48543.07241009389</v>
      </c>
      <c r="G346">
        <v>10000</v>
      </c>
      <c r="H346">
        <v>372630.52759862854</v>
      </c>
      <c r="I346">
        <v>49.034918209483067</v>
      </c>
    </row>
    <row r="347" spans="1:9" x14ac:dyDescent="0.2">
      <c r="A347">
        <v>337</v>
      </c>
      <c r="B347">
        <v>1083244.437011373</v>
      </c>
      <c r="C347">
        <v>139208.28893673536</v>
      </c>
      <c r="D347">
        <v>86079.13652791873</v>
      </c>
      <c r="E347">
        <v>44444.369801656176</v>
      </c>
      <c r="F347">
        <v>39076.91790934543</v>
      </c>
      <c r="G347">
        <v>10000</v>
      </c>
      <c r="H347">
        <v>298808.71317565569</v>
      </c>
      <c r="I347">
        <v>36.118094434437779</v>
      </c>
    </row>
    <row r="348" spans="1:9" x14ac:dyDescent="0.2">
      <c r="A348">
        <v>338</v>
      </c>
      <c r="B348">
        <v>1343280.291255004</v>
      </c>
      <c r="C348">
        <v>121641.57040331968</v>
      </c>
      <c r="D348">
        <v>53930.808984516712</v>
      </c>
      <c r="E348">
        <v>157592.32784855986</v>
      </c>
      <c r="F348">
        <v>46910.238081823372</v>
      </c>
      <c r="G348">
        <v>10000</v>
      </c>
      <c r="H348">
        <v>370074.94531821966</v>
      </c>
      <c r="I348">
        <v>29.586847185651454</v>
      </c>
    </row>
    <row r="349" spans="1:9" x14ac:dyDescent="0.2">
      <c r="A349">
        <v>339</v>
      </c>
      <c r="B349">
        <v>1513273.3702606177</v>
      </c>
      <c r="C349">
        <v>96043.804886405778</v>
      </c>
      <c r="D349">
        <v>78327.30948131319</v>
      </c>
      <c r="E349">
        <v>202288.1002550679</v>
      </c>
      <c r="F349">
        <v>50004.56078688932</v>
      </c>
      <c r="G349">
        <v>10000</v>
      </c>
      <c r="H349">
        <v>416663.77540967619</v>
      </c>
      <c r="I349">
        <v>30.172176273637557</v>
      </c>
    </row>
    <row r="350" spans="1:9" x14ac:dyDescent="0.2">
      <c r="A350">
        <v>340</v>
      </c>
      <c r="B350">
        <v>1330315.6726881657</v>
      </c>
      <c r="C350">
        <v>141026.71787257341</v>
      </c>
      <c r="D350">
        <v>78769.849884631447</v>
      </c>
      <c r="E350">
        <v>112908.51094962955</v>
      </c>
      <c r="F350">
        <v>43816.743065743583</v>
      </c>
      <c r="G350">
        <v>10000</v>
      </c>
      <c r="H350">
        <v>366521.821772578</v>
      </c>
      <c r="I350">
        <v>29.965642540042076</v>
      </c>
    </row>
    <row r="351" spans="1:9" x14ac:dyDescent="0.2">
      <c r="A351">
        <v>341</v>
      </c>
      <c r="B351">
        <v>1325469.3746621527</v>
      </c>
      <c r="C351">
        <v>96463.093818618669</v>
      </c>
      <c r="D351">
        <v>87756.907568608498</v>
      </c>
      <c r="E351">
        <v>144939.36518466697</v>
      </c>
      <c r="F351">
        <v>46034.263743553864</v>
      </c>
      <c r="G351">
        <v>10000</v>
      </c>
      <c r="H351">
        <v>365193.63031544804</v>
      </c>
      <c r="I351">
        <v>25.210075593422054</v>
      </c>
    </row>
    <row r="352" spans="1:9" x14ac:dyDescent="0.2">
      <c r="A352">
        <v>342</v>
      </c>
      <c r="B352">
        <v>1276329.6586897532</v>
      </c>
      <c r="C352">
        <v>146741.31045966252</v>
      </c>
      <c r="D352">
        <v>78532.67483321928</v>
      </c>
      <c r="E352">
        <v>93948.158858937401</v>
      </c>
      <c r="F352">
        <v>42504.103305618744</v>
      </c>
      <c r="G352">
        <v>10000</v>
      </c>
      <c r="H352">
        <v>351726.24745743792</v>
      </c>
      <c r="I352">
        <v>41.851313584128363</v>
      </c>
    </row>
    <row r="353" spans="1:9" x14ac:dyDescent="0.2">
      <c r="A353">
        <v>343</v>
      </c>
      <c r="B353">
        <v>1164125.8690876903</v>
      </c>
      <c r="C353">
        <v>88552.18488387455</v>
      </c>
      <c r="D353">
        <v>61557.001605320649</v>
      </c>
      <c r="E353">
        <v>135486.32045181585</v>
      </c>
      <c r="F353">
        <v>45379.822185125711</v>
      </c>
      <c r="G353">
        <v>10000</v>
      </c>
      <c r="H353">
        <v>320975.32912613678</v>
      </c>
      <c r="I353">
        <v>35.701067429261613</v>
      </c>
    </row>
    <row r="354" spans="1:9" x14ac:dyDescent="0.2">
      <c r="A354">
        <v>344</v>
      </c>
      <c r="B354">
        <v>1575537.9956319481</v>
      </c>
      <c r="C354">
        <v>121039.84540458767</v>
      </c>
      <c r="D354">
        <v>114325.95400034991</v>
      </c>
      <c r="E354">
        <v>161202.25602432335</v>
      </c>
      <c r="F354">
        <v>47160.156186299304</v>
      </c>
      <c r="G354">
        <v>10000</v>
      </c>
      <c r="H354">
        <v>433728.21161556023</v>
      </c>
      <c r="I354">
        <v>30.126894954951766</v>
      </c>
    </row>
    <row r="355" spans="1:9" x14ac:dyDescent="0.2">
      <c r="A355">
        <v>345</v>
      </c>
      <c r="B355">
        <v>1369239.4592279606</v>
      </c>
      <c r="C355">
        <v>103441.09884492381</v>
      </c>
      <c r="D355">
        <v>44580.951367599002</v>
      </c>
      <c r="E355">
        <v>190012.62494692471</v>
      </c>
      <c r="F355">
        <v>49154.720188633248</v>
      </c>
      <c r="G355">
        <v>10000</v>
      </c>
      <c r="H355">
        <v>377189.39534808072</v>
      </c>
      <c r="I355">
        <v>28.338740362348048</v>
      </c>
    </row>
    <row r="356" spans="1:9" x14ac:dyDescent="0.2">
      <c r="A356">
        <v>346</v>
      </c>
      <c r="B356">
        <v>1179528.6013146786</v>
      </c>
      <c r="C356">
        <v>83905.633300409696</v>
      </c>
      <c r="D356">
        <v>101275.04820582681</v>
      </c>
      <c r="E356">
        <v>106633.63927855248</v>
      </c>
      <c r="F356">
        <v>43382.328873130551</v>
      </c>
      <c r="G356">
        <v>10000</v>
      </c>
      <c r="H356">
        <v>325196.64965791954</v>
      </c>
      <c r="I356">
        <v>27.72474752989492</v>
      </c>
    </row>
    <row r="357" spans="1:9" x14ac:dyDescent="0.2">
      <c r="A357">
        <v>347</v>
      </c>
      <c r="B357">
        <v>934324.41429443611</v>
      </c>
      <c r="C357">
        <v>119425.18701763403</v>
      </c>
      <c r="D357">
        <v>34128.199762718097</v>
      </c>
      <c r="E357">
        <v>73362.87514287683</v>
      </c>
      <c r="F357">
        <v>41078.968279122237</v>
      </c>
      <c r="G357">
        <v>10000</v>
      </c>
      <c r="H357">
        <v>257995.23020235123</v>
      </c>
      <c r="I357">
        <v>36.59469029072752</v>
      </c>
    </row>
    <row r="358" spans="1:9" x14ac:dyDescent="0.2">
      <c r="A358">
        <v>348</v>
      </c>
      <c r="B358">
        <v>1420320.2242848298</v>
      </c>
      <c r="C358">
        <v>115892.19036670447</v>
      </c>
      <c r="D358">
        <v>94589.995442159823</v>
      </c>
      <c r="E358">
        <v>144689.59066386119</v>
      </c>
      <c r="F358">
        <v>46016.971661344236</v>
      </c>
      <c r="G358">
        <v>10000</v>
      </c>
      <c r="H358">
        <v>391188.74813406973</v>
      </c>
      <c r="I358">
        <v>31.212320255479145</v>
      </c>
    </row>
    <row r="359" spans="1:9" x14ac:dyDescent="0.2">
      <c r="A359">
        <v>349</v>
      </c>
      <c r="B359">
        <v>1221626.636588335</v>
      </c>
      <c r="C359">
        <v>81668.89656145715</v>
      </c>
      <c r="D359">
        <v>122834.36330265352</v>
      </c>
      <c r="E359">
        <v>99352.647597001822</v>
      </c>
      <c r="F359">
        <v>42878.260218253978</v>
      </c>
      <c r="G359">
        <v>10000</v>
      </c>
      <c r="H359">
        <v>336734.16767936648</v>
      </c>
      <c r="I359">
        <v>34.180806163872568</v>
      </c>
    </row>
    <row r="360" spans="1:9" x14ac:dyDescent="0.2">
      <c r="A360">
        <v>350</v>
      </c>
      <c r="B360">
        <v>1701330.4512219916</v>
      </c>
      <c r="C360">
        <v>130751.71389168229</v>
      </c>
      <c r="D360">
        <v>148935.58558186711</v>
      </c>
      <c r="E360">
        <v>151993.36482452581</v>
      </c>
      <c r="F360">
        <v>46522.617564774868</v>
      </c>
      <c r="G360">
        <v>10000</v>
      </c>
      <c r="H360">
        <v>468203.28186285013</v>
      </c>
      <c r="I360">
        <v>28.025879289261155</v>
      </c>
    </row>
    <row r="361" spans="1:9" x14ac:dyDescent="0.2">
      <c r="A361">
        <v>351</v>
      </c>
      <c r="B361">
        <v>1223363.2366390415</v>
      </c>
      <c r="C361">
        <v>103762.23939543127</v>
      </c>
      <c r="D361">
        <v>71008.401506591399</v>
      </c>
      <c r="E361">
        <v>127605.25482037803</v>
      </c>
      <c r="F361">
        <v>44834.209949103097</v>
      </c>
      <c r="G361">
        <v>10000</v>
      </c>
      <c r="H361">
        <v>337210.10567150381</v>
      </c>
      <c r="I361">
        <v>46.853588311249851</v>
      </c>
    </row>
    <row r="362" spans="1:9" x14ac:dyDescent="0.2">
      <c r="A362">
        <v>352</v>
      </c>
      <c r="B362">
        <v>1233726.9875760779</v>
      </c>
      <c r="C362">
        <v>103130.76534148314</v>
      </c>
      <c r="D362">
        <v>94438.053817745633</v>
      </c>
      <c r="E362">
        <v>108939.63358184093</v>
      </c>
      <c r="F362">
        <v>43541.974632588986</v>
      </c>
      <c r="G362">
        <v>10000</v>
      </c>
      <c r="H362">
        <v>340050.42737365869</v>
      </c>
      <c r="I362">
        <v>40.081521062009742</v>
      </c>
    </row>
    <row r="363" spans="1:9" x14ac:dyDescent="0.2">
      <c r="A363">
        <v>353</v>
      </c>
      <c r="B363">
        <v>1579182.7740719323</v>
      </c>
      <c r="C363">
        <v>87246.738110896797</v>
      </c>
      <c r="D363">
        <v>100718.68621494483</v>
      </c>
      <c r="E363">
        <v>206467.76441352876</v>
      </c>
      <c r="F363">
        <v>50293.922151705832</v>
      </c>
      <c r="G363">
        <v>10000</v>
      </c>
      <c r="H363">
        <v>434727.11089107621</v>
      </c>
      <c r="I363">
        <v>39.346476711455288</v>
      </c>
    </row>
    <row r="364" spans="1:9" x14ac:dyDescent="0.2">
      <c r="A364">
        <v>354</v>
      </c>
      <c r="B364">
        <v>1553687.4561616066</v>
      </c>
      <c r="C364">
        <v>100453.20354680315</v>
      </c>
      <c r="D364">
        <v>82649.855014055909</v>
      </c>
      <c r="E364">
        <v>204480.39167767577</v>
      </c>
      <c r="F364">
        <v>50156.334808454478</v>
      </c>
      <c r="G364">
        <v>10000</v>
      </c>
      <c r="H364">
        <v>427739.78504698933</v>
      </c>
      <c r="I364">
        <v>38.929089790255922</v>
      </c>
    </row>
    <row r="365" spans="1:9" x14ac:dyDescent="0.2">
      <c r="A365">
        <v>355</v>
      </c>
      <c r="B365">
        <v>1522874.1220663083</v>
      </c>
      <c r="C365">
        <v>146330.78488229672</v>
      </c>
      <c r="D365">
        <v>135635.59853467578</v>
      </c>
      <c r="E365">
        <v>104120.27692417876</v>
      </c>
      <c r="F365">
        <v>43208.326863981601</v>
      </c>
      <c r="G365">
        <v>10000</v>
      </c>
      <c r="H365">
        <v>419294.98720513284</v>
      </c>
      <c r="I365">
        <v>45.111114001211263</v>
      </c>
    </row>
    <row r="366" spans="1:9" x14ac:dyDescent="0.2">
      <c r="A366">
        <v>356</v>
      </c>
      <c r="B366">
        <v>1153827.4962460685</v>
      </c>
      <c r="C366">
        <v>98949.104955143761</v>
      </c>
      <c r="D366">
        <v>77416.515955421914</v>
      </c>
      <c r="E366">
        <v>108290.28453808154</v>
      </c>
      <c r="F366">
        <v>43497.019698790267</v>
      </c>
      <c r="G366">
        <v>10000</v>
      </c>
      <c r="H366">
        <v>318152.92514743749</v>
      </c>
      <c r="I366">
        <v>37.256889455504322</v>
      </c>
    </row>
    <row r="367" spans="1:9" x14ac:dyDescent="0.2">
      <c r="A367">
        <v>357</v>
      </c>
      <c r="B367">
        <v>1482556.7070692335</v>
      </c>
      <c r="C367">
        <v>148633.24560204547</v>
      </c>
      <c r="D367">
        <v>78035.409566460803</v>
      </c>
      <c r="E367">
        <v>145503.49728410642</v>
      </c>
      <c r="F367">
        <v>46073.319042745825</v>
      </c>
      <c r="G367">
        <v>10000</v>
      </c>
      <c r="H367">
        <v>408245.47149535845</v>
      </c>
      <c r="I367">
        <v>40.765390599766256</v>
      </c>
    </row>
    <row r="368" spans="1:9" x14ac:dyDescent="0.2">
      <c r="A368">
        <v>358</v>
      </c>
      <c r="B368">
        <v>1636490.840243442</v>
      </c>
      <c r="C368">
        <v>155184.80732264396</v>
      </c>
      <c r="D368">
        <v>119798.85685256863</v>
      </c>
      <c r="E368">
        <v>139772.88836638082</v>
      </c>
      <c r="F368">
        <v>45676.584579210983</v>
      </c>
      <c r="G368">
        <v>10000</v>
      </c>
      <c r="H368">
        <v>450433.1371208044</v>
      </c>
      <c r="I368">
        <v>27.705907751333811</v>
      </c>
    </row>
    <row r="369" spans="1:9" x14ac:dyDescent="0.2">
      <c r="A369">
        <v>359</v>
      </c>
      <c r="B369">
        <v>1698847.8857970778</v>
      </c>
      <c r="C369">
        <v>133318.580967146</v>
      </c>
      <c r="D369">
        <v>143113.60778991395</v>
      </c>
      <c r="E369">
        <v>154401.3867558254</v>
      </c>
      <c r="F369">
        <v>46689.3267754033</v>
      </c>
      <c r="G369">
        <v>10000</v>
      </c>
      <c r="H369">
        <v>467522.90228828863</v>
      </c>
      <c r="I369">
        <v>36.123957822709329</v>
      </c>
    </row>
    <row r="370" spans="1:9" x14ac:dyDescent="0.2">
      <c r="A370">
        <v>360</v>
      </c>
      <c r="B370">
        <v>1281782.8452819674</v>
      </c>
      <c r="C370">
        <v>104844.67730368333</v>
      </c>
      <c r="D370">
        <v>58621.499068437057</v>
      </c>
      <c r="E370">
        <v>153151.77323379694</v>
      </c>
      <c r="F370">
        <v>46602.815070032098</v>
      </c>
      <c r="G370">
        <v>10000</v>
      </c>
      <c r="H370">
        <v>353220.76467594941</v>
      </c>
      <c r="I370">
        <v>30.275271899637687</v>
      </c>
    </row>
    <row r="371" spans="1:9" x14ac:dyDescent="0.2">
      <c r="A371">
        <v>361</v>
      </c>
      <c r="B371">
        <v>1738803.8063205734</v>
      </c>
      <c r="C371">
        <v>165858.94821026808</v>
      </c>
      <c r="D371">
        <v>74990.977681526201</v>
      </c>
      <c r="E371">
        <v>197921.18399539494</v>
      </c>
      <c r="F371">
        <v>49702.235815065804</v>
      </c>
      <c r="G371">
        <v>10000</v>
      </c>
      <c r="H371">
        <v>478473.34570225503</v>
      </c>
      <c r="I371">
        <v>39.415983914540298</v>
      </c>
    </row>
    <row r="372" spans="1:9" x14ac:dyDescent="0.2">
      <c r="A372">
        <v>362</v>
      </c>
      <c r="B372">
        <v>1449281.9283324857</v>
      </c>
      <c r="C372">
        <v>162886.08982867701</v>
      </c>
      <c r="D372">
        <v>158993.18305371725</v>
      </c>
      <c r="E372">
        <v>47928.670871294045</v>
      </c>
      <c r="F372">
        <v>39318.138752628052</v>
      </c>
      <c r="G372">
        <v>10000</v>
      </c>
      <c r="H372">
        <v>399126.08250631636</v>
      </c>
      <c r="I372">
        <v>39.121660757923522</v>
      </c>
    </row>
    <row r="373" spans="1:9" x14ac:dyDescent="0.2">
      <c r="A373">
        <v>363</v>
      </c>
      <c r="B373">
        <v>1448861.430854422</v>
      </c>
      <c r="C373">
        <v>107001.99539686962</v>
      </c>
      <c r="D373">
        <v>118973.12962544106</v>
      </c>
      <c r="E373">
        <v>137515.41657158046</v>
      </c>
      <c r="F373">
        <v>45520.298070340184</v>
      </c>
      <c r="G373">
        <v>10000</v>
      </c>
      <c r="H373">
        <v>399010.83966423129</v>
      </c>
      <c r="I373">
        <v>35.82640929493077</v>
      </c>
    </row>
    <row r="374" spans="1:9" x14ac:dyDescent="0.2">
      <c r="A374">
        <v>364</v>
      </c>
      <c r="B374">
        <v>1081577.3095936168</v>
      </c>
      <c r="C374">
        <v>102186.03124734895</v>
      </c>
      <c r="D374">
        <v>54693.515401187404</v>
      </c>
      <c r="E374">
        <v>107995.64672382026</v>
      </c>
      <c r="F374">
        <v>43476.621696264476</v>
      </c>
      <c r="G374">
        <v>10000</v>
      </c>
      <c r="H374">
        <v>298351.81506862107</v>
      </c>
      <c r="I374">
        <v>36.659144230559377</v>
      </c>
    </row>
    <row r="375" spans="1:9" x14ac:dyDescent="0.2">
      <c r="A375">
        <v>365</v>
      </c>
      <c r="B375">
        <v>1573718.6201942647</v>
      </c>
      <c r="C375">
        <v>132282.7660311145</v>
      </c>
      <c r="D375">
        <v>115645.27561477065</v>
      </c>
      <c r="E375">
        <v>148987.05768918601</v>
      </c>
      <c r="F375">
        <v>46314.488609251341</v>
      </c>
      <c r="G375">
        <v>10000</v>
      </c>
      <c r="H375">
        <v>433229.5879443225</v>
      </c>
      <c r="I375">
        <v>30.193815823738866</v>
      </c>
    </row>
    <row r="376" spans="1:9" x14ac:dyDescent="0.2">
      <c r="A376">
        <v>366</v>
      </c>
      <c r="B376">
        <v>1394557.5914453841</v>
      </c>
      <c r="C376">
        <v>147227.78515322687</v>
      </c>
      <c r="D376">
        <v>61908.513900337093</v>
      </c>
      <c r="E376">
        <v>139344.90697985061</v>
      </c>
      <c r="F376">
        <v>45646.955098605038</v>
      </c>
      <c r="G376">
        <v>10000</v>
      </c>
      <c r="H376">
        <v>384128.1611320196</v>
      </c>
      <c r="I376">
        <v>27.834286425375261</v>
      </c>
    </row>
    <row r="377" spans="1:9" x14ac:dyDescent="0.2">
      <c r="A377">
        <v>367</v>
      </c>
      <c r="B377">
        <v>883949.86128816148</v>
      </c>
      <c r="C377">
        <v>96900.040918777639</v>
      </c>
      <c r="D377">
        <v>63073.73944902762</v>
      </c>
      <c r="E377">
        <v>54446.285485953711</v>
      </c>
      <c r="F377">
        <v>39769.358225950637</v>
      </c>
      <c r="G377">
        <v>10000</v>
      </c>
      <c r="H377">
        <v>244189.42407970963</v>
      </c>
      <c r="I377">
        <v>41.877235327993596</v>
      </c>
    </row>
    <row r="378" spans="1:9" x14ac:dyDescent="0.2">
      <c r="A378">
        <v>368</v>
      </c>
      <c r="B378">
        <v>906839.27733827359</v>
      </c>
      <c r="C378">
        <v>122028.27015935493</v>
      </c>
      <c r="D378">
        <v>47103.56716390029</v>
      </c>
      <c r="E378">
        <v>51748.165739816373</v>
      </c>
      <c r="F378">
        <v>39582.565320448826</v>
      </c>
      <c r="G378">
        <v>10000</v>
      </c>
      <c r="H378">
        <v>250462.56838352044</v>
      </c>
      <c r="I378">
        <v>28.110522459235412</v>
      </c>
    </row>
    <row r="379" spans="1:9" x14ac:dyDescent="0.2">
      <c r="A379">
        <v>369</v>
      </c>
      <c r="B379">
        <v>1432872.1751018609</v>
      </c>
      <c r="C379">
        <v>152643.94187189653</v>
      </c>
      <c r="D379">
        <v>81910.24137927503</v>
      </c>
      <c r="E379">
        <v>125393.50277256232</v>
      </c>
      <c r="F379">
        <v>44681.088653485087</v>
      </c>
      <c r="G379">
        <v>10000</v>
      </c>
      <c r="H379">
        <v>394628.77467721899</v>
      </c>
      <c r="I379">
        <v>35.901569957177315</v>
      </c>
    </row>
    <row r="380" spans="1:9" x14ac:dyDescent="0.2">
      <c r="A380">
        <v>370</v>
      </c>
      <c r="B380">
        <v>1248005.0845334986</v>
      </c>
      <c r="C380">
        <v>111946.16745220117</v>
      </c>
      <c r="D380">
        <v>72416.135124910477</v>
      </c>
      <c r="E380">
        <v>124950.78531726912</v>
      </c>
      <c r="F380">
        <v>44650.438983503249</v>
      </c>
      <c r="G380">
        <v>10000</v>
      </c>
      <c r="H380">
        <v>343963.52687788405</v>
      </c>
      <c r="I380">
        <v>31.791639711410802</v>
      </c>
    </row>
    <row r="381" spans="1:9" x14ac:dyDescent="0.2">
      <c r="A381">
        <v>371</v>
      </c>
      <c r="B381">
        <v>1239355.713510362</v>
      </c>
      <c r="C381">
        <v>98767.918382232878</v>
      </c>
      <c r="D381">
        <v>83115.631758198739</v>
      </c>
      <c r="E381">
        <v>125052.05345340825</v>
      </c>
      <c r="F381">
        <v>44657.449854466722</v>
      </c>
      <c r="G381">
        <v>10000</v>
      </c>
      <c r="H381">
        <v>341593.05344830657</v>
      </c>
      <c r="I381">
        <v>27.46576196681271</v>
      </c>
    </row>
    <row r="382" spans="1:9" x14ac:dyDescent="0.2">
      <c r="A382">
        <v>372</v>
      </c>
      <c r="B382">
        <v>1496263.7730496861</v>
      </c>
      <c r="C382">
        <v>116322.00268974307</v>
      </c>
      <c r="D382">
        <v>68807.438060145418</v>
      </c>
      <c r="E382">
        <v>187866.4901075238</v>
      </c>
      <c r="F382">
        <v>49006.141622828567</v>
      </c>
      <c r="G382">
        <v>10000</v>
      </c>
      <c r="H382">
        <v>412002.07248024084</v>
      </c>
      <c r="I382">
        <v>45.801902805419019</v>
      </c>
    </row>
    <row r="383" spans="1:9" x14ac:dyDescent="0.2">
      <c r="A383">
        <v>373</v>
      </c>
      <c r="B383">
        <v>1648148.0468820333</v>
      </c>
      <c r="C383">
        <v>139853.83358329235</v>
      </c>
      <c r="D383">
        <v>85387.019665209227</v>
      </c>
      <c r="E383">
        <v>189282.89371847425</v>
      </c>
      <c r="F383">
        <v>49104.200334355904</v>
      </c>
      <c r="G383">
        <v>10000</v>
      </c>
      <c r="H383">
        <v>453627.94730133179</v>
      </c>
      <c r="I383">
        <v>28.258429568303072</v>
      </c>
    </row>
    <row r="384" spans="1:9" x14ac:dyDescent="0.2">
      <c r="A384">
        <v>374</v>
      </c>
      <c r="B384">
        <v>996894.68021392764</v>
      </c>
      <c r="C384">
        <v>109899.02173604547</v>
      </c>
      <c r="D384">
        <v>69481.608981717698</v>
      </c>
      <c r="E384">
        <v>65245.784627542387</v>
      </c>
      <c r="F384">
        <v>40517.015858829858</v>
      </c>
      <c r="G384">
        <v>10000</v>
      </c>
      <c r="H384">
        <v>275143.43120413541</v>
      </c>
      <c r="I384">
        <v>43.074469012321764</v>
      </c>
    </row>
    <row r="385" spans="1:9" x14ac:dyDescent="0.2">
      <c r="A385">
        <v>375</v>
      </c>
      <c r="B385">
        <v>1203327.0357123588</v>
      </c>
      <c r="C385">
        <v>131041.51952286455</v>
      </c>
      <c r="D385">
        <v>91380.018428094307</v>
      </c>
      <c r="E385">
        <v>77904.028572195617</v>
      </c>
      <c r="F385">
        <v>41393.355824228929</v>
      </c>
      <c r="G385">
        <v>10000</v>
      </c>
      <c r="H385">
        <v>331718.92234738346</v>
      </c>
      <c r="I385">
        <v>41.177905502135538</v>
      </c>
    </row>
    <row r="386" spans="1:9" x14ac:dyDescent="0.2">
      <c r="A386">
        <v>376</v>
      </c>
      <c r="B386">
        <v>908181.67229116824</v>
      </c>
      <c r="C386">
        <v>119633.86889925695</v>
      </c>
      <c r="D386">
        <v>47747.698261358637</v>
      </c>
      <c r="E386">
        <v>53729.189055704999</v>
      </c>
      <c r="F386">
        <v>39719.713088471886</v>
      </c>
      <c r="G386">
        <v>10000</v>
      </c>
      <c r="H386">
        <v>250830.46930479247</v>
      </c>
      <c r="I386">
        <v>28.823887289690742</v>
      </c>
    </row>
    <row r="387" spans="1:9" x14ac:dyDescent="0.2">
      <c r="A387">
        <v>377</v>
      </c>
      <c r="B387">
        <v>1711128.8815947354</v>
      </c>
      <c r="C387">
        <v>160370.20378539819</v>
      </c>
      <c r="D387">
        <v>89555.890314393037</v>
      </c>
      <c r="E387">
        <v>182339.09981801949</v>
      </c>
      <c r="F387">
        <v>48623.476141247505</v>
      </c>
      <c r="G387">
        <v>10000</v>
      </c>
      <c r="H387">
        <v>470888.67005905817</v>
      </c>
      <c r="I387">
        <v>39.360273137257437</v>
      </c>
    </row>
    <row r="388" spans="1:9" x14ac:dyDescent="0.2">
      <c r="A388">
        <v>378</v>
      </c>
      <c r="B388">
        <v>1435444.3877006262</v>
      </c>
      <c r="C388">
        <v>99803.488955025299</v>
      </c>
      <c r="D388">
        <v>60945.065352173355</v>
      </c>
      <c r="E388">
        <v>195079.65439205611</v>
      </c>
      <c r="F388">
        <v>49505.514534834649</v>
      </c>
      <c r="G388">
        <v>10000</v>
      </c>
      <c r="H388">
        <v>395333.72323408944</v>
      </c>
      <c r="I388">
        <v>35.198094798953178</v>
      </c>
    </row>
    <row r="389" spans="1:9" x14ac:dyDescent="0.2">
      <c r="A389">
        <v>379</v>
      </c>
      <c r="B389">
        <v>1383182.3281024201</v>
      </c>
      <c r="C389">
        <v>111188.59625267283</v>
      </c>
      <c r="D389">
        <v>129892.37355882615</v>
      </c>
      <c r="E389">
        <v>106552.91137514022</v>
      </c>
      <c r="F389">
        <v>43376.740018278935</v>
      </c>
      <c r="G389">
        <v>10000</v>
      </c>
      <c r="H389">
        <v>381010.62120491813</v>
      </c>
      <c r="I389">
        <v>40.46407799784609</v>
      </c>
    </row>
    <row r="390" spans="1:9" x14ac:dyDescent="0.2">
      <c r="A390">
        <v>380</v>
      </c>
      <c r="B390">
        <v>1552933.7533097211</v>
      </c>
      <c r="C390">
        <v>115592.01531088843</v>
      </c>
      <c r="D390">
        <v>81382.28056095638</v>
      </c>
      <c r="E390">
        <v>191314.10442179089</v>
      </c>
      <c r="F390">
        <v>49244.822613816294</v>
      </c>
      <c r="G390">
        <v>10000</v>
      </c>
      <c r="H390">
        <v>427533.22290745197</v>
      </c>
      <c r="I390">
        <v>47.18480256439868</v>
      </c>
    </row>
    <row r="391" spans="1:9" x14ac:dyDescent="0.2">
      <c r="A391">
        <v>381</v>
      </c>
      <c r="B391">
        <v>1391186.0234018394</v>
      </c>
      <c r="C391">
        <v>79340.300756026423</v>
      </c>
      <c r="D391">
        <v>78870.385603706629</v>
      </c>
      <c r="E391">
        <v>186108.98424475762</v>
      </c>
      <c r="F391">
        <v>48884.468140021687</v>
      </c>
      <c r="G391">
        <v>10000</v>
      </c>
      <c r="H391">
        <v>383204.13874451234</v>
      </c>
      <c r="I391">
        <v>27.538089146410918</v>
      </c>
    </row>
    <row r="392" spans="1:9" x14ac:dyDescent="0.2">
      <c r="A392">
        <v>382</v>
      </c>
      <c r="B392">
        <v>901178.52098412742</v>
      </c>
      <c r="C392">
        <v>89000.318703409357</v>
      </c>
      <c r="D392">
        <v>30796.504896632665</v>
      </c>
      <c r="E392">
        <v>96437.872272301232</v>
      </c>
      <c r="F392">
        <v>42676.468080390085</v>
      </c>
      <c r="G392">
        <v>10000</v>
      </c>
      <c r="H392">
        <v>248911.16395273333</v>
      </c>
      <c r="I392">
        <v>29.944573209755667</v>
      </c>
    </row>
    <row r="393" spans="1:9" x14ac:dyDescent="0.2">
      <c r="A393">
        <v>383</v>
      </c>
      <c r="B393">
        <v>1154603.862103068</v>
      </c>
      <c r="C393">
        <v>121659.46334615444</v>
      </c>
      <c r="D393">
        <v>110793.27119941093</v>
      </c>
      <c r="E393">
        <v>56033.707183654333</v>
      </c>
      <c r="F393">
        <v>39879.256651176074</v>
      </c>
      <c r="G393">
        <v>10000</v>
      </c>
      <c r="H393">
        <v>318365.69838039583</v>
      </c>
      <c r="I393">
        <v>39.036766678935763</v>
      </c>
    </row>
    <row r="394" spans="1:9" x14ac:dyDescent="0.2">
      <c r="A394">
        <v>384</v>
      </c>
      <c r="B394">
        <v>1519524.6473568578</v>
      </c>
      <c r="C394">
        <v>137781.26426891025</v>
      </c>
      <c r="D394">
        <v>62307.386000841201</v>
      </c>
      <c r="E394">
        <v>179838.04343175309</v>
      </c>
      <c r="F394">
        <v>48450.326083736749</v>
      </c>
      <c r="G394">
        <v>10000</v>
      </c>
      <c r="H394">
        <v>418377.01978524122</v>
      </c>
      <c r="I394">
        <v>30.943596570094343</v>
      </c>
    </row>
    <row r="395" spans="1:9" x14ac:dyDescent="0.2">
      <c r="A395">
        <v>385</v>
      </c>
      <c r="B395">
        <v>1259221.9729631469</v>
      </c>
      <c r="C395">
        <v>134925.5346289567</v>
      </c>
      <c r="D395">
        <v>49488.862913294943</v>
      </c>
      <c r="E395">
        <v>127777.15388926727</v>
      </c>
      <c r="F395">
        <v>44846.110653872354</v>
      </c>
      <c r="G395">
        <v>10000</v>
      </c>
      <c r="H395">
        <v>347037.66208539123</v>
      </c>
      <c r="I395">
        <v>30.277735523319073</v>
      </c>
    </row>
    <row r="396" spans="1:9" x14ac:dyDescent="0.2">
      <c r="A396">
        <v>386</v>
      </c>
      <c r="B396">
        <v>1563536.3556590364</v>
      </c>
      <c r="C396">
        <v>153071.66318263614</v>
      </c>
      <c r="D396">
        <v>58814.054226713713</v>
      </c>
      <c r="E396">
        <v>180085.80850802237</v>
      </c>
      <c r="F396">
        <v>48467.479050555397</v>
      </c>
      <c r="G396">
        <v>10000</v>
      </c>
      <c r="H396">
        <v>430439.00496792758</v>
      </c>
      <c r="I396">
        <v>41.757300737416962</v>
      </c>
    </row>
    <row r="397" spans="1:9" x14ac:dyDescent="0.2">
      <c r="A397">
        <v>387</v>
      </c>
      <c r="B397">
        <v>1058030.2805419392</v>
      </c>
      <c r="C397">
        <v>107252.81751061036</v>
      </c>
      <c r="D397">
        <v>46333.567437341633</v>
      </c>
      <c r="E397">
        <v>105040.0545808373</v>
      </c>
      <c r="F397">
        <v>43272.003778673352</v>
      </c>
      <c r="G397">
        <v>10000</v>
      </c>
      <c r="H397">
        <v>291898.44330746267</v>
      </c>
      <c r="I397">
        <v>29.393385765935502</v>
      </c>
    </row>
    <row r="398" spans="1:9" x14ac:dyDescent="0.2">
      <c r="A398">
        <v>388</v>
      </c>
      <c r="B398">
        <v>1107970.1234197579</v>
      </c>
      <c r="C398">
        <v>90863.279792943009</v>
      </c>
      <c r="D398">
        <v>76813.035474994031</v>
      </c>
      <c r="E398">
        <v>104662.90288070966</v>
      </c>
      <c r="F398">
        <v>43245.893276356823</v>
      </c>
      <c r="G398">
        <v>10000</v>
      </c>
      <c r="H398">
        <v>305585.1114250035</v>
      </c>
      <c r="I398">
        <v>55.937169426117464</v>
      </c>
    </row>
    <row r="399" spans="1:9" x14ac:dyDescent="0.2">
      <c r="A399">
        <v>389</v>
      </c>
      <c r="B399">
        <v>1611634.0690881412</v>
      </c>
      <c r="C399">
        <v>113098.73851750708</v>
      </c>
      <c r="D399">
        <v>132107.88979376823</v>
      </c>
      <c r="E399">
        <v>161250.67668246187</v>
      </c>
      <c r="F399">
        <v>47163.508385708898</v>
      </c>
      <c r="G399">
        <v>10000</v>
      </c>
      <c r="H399">
        <v>443620.8133794461</v>
      </c>
      <c r="I399">
        <v>32.727281953954261</v>
      </c>
    </row>
    <row r="400" spans="1:9" x14ac:dyDescent="0.2">
      <c r="A400">
        <v>390</v>
      </c>
      <c r="B400">
        <v>1048950.0342642884</v>
      </c>
      <c r="C400">
        <v>99011.665205278972</v>
      </c>
      <c r="D400">
        <v>66194.120855381028</v>
      </c>
      <c r="E400">
        <v>91845.558167216514</v>
      </c>
      <c r="F400">
        <v>42358.538642345753</v>
      </c>
      <c r="G400">
        <v>10000</v>
      </c>
      <c r="H400">
        <v>289409.88287022227</v>
      </c>
      <c r="I400">
        <v>30.481148092534816</v>
      </c>
    </row>
    <row r="401" spans="1:9" x14ac:dyDescent="0.2">
      <c r="A401">
        <v>391</v>
      </c>
      <c r="B401">
        <v>1307737.1550606785</v>
      </c>
      <c r="C401">
        <v>83473.672790989091</v>
      </c>
      <c r="D401">
        <v>132724.07099578326</v>
      </c>
      <c r="E401">
        <v>110487.03691183167</v>
      </c>
      <c r="F401">
        <v>43649.102555434503</v>
      </c>
      <c r="G401">
        <v>10000</v>
      </c>
      <c r="H401">
        <v>360333.88325403858</v>
      </c>
      <c r="I401">
        <v>33.669691477579278</v>
      </c>
    </row>
    <row r="402" spans="1:9" x14ac:dyDescent="0.2">
      <c r="A402">
        <v>392</v>
      </c>
      <c r="B402">
        <v>1061323.1903629296</v>
      </c>
      <c r="C402">
        <v>118324.39684640468</v>
      </c>
      <c r="D402">
        <v>62483.670623722617</v>
      </c>
      <c r="E402">
        <v>80424.959123136301</v>
      </c>
      <c r="F402">
        <v>41567.881785447898</v>
      </c>
      <c r="G402">
        <v>10000</v>
      </c>
      <c r="H402">
        <v>292800.90837871149</v>
      </c>
      <c r="I402">
        <v>40.601763481079615</v>
      </c>
    </row>
    <row r="403" spans="1:9" x14ac:dyDescent="0.2">
      <c r="A403">
        <v>393</v>
      </c>
      <c r="B403">
        <v>1354860.2072913137</v>
      </c>
      <c r="C403">
        <v>114715.21078603741</v>
      </c>
      <c r="D403">
        <v>100183.79579265226</v>
      </c>
      <c r="E403">
        <v>123780.17003126928</v>
      </c>
      <c r="F403">
        <v>44569.396386780179</v>
      </c>
      <c r="G403">
        <v>10000</v>
      </c>
      <c r="H403">
        <v>373248.57299673918</v>
      </c>
      <c r="I403">
        <v>26.846527530853962</v>
      </c>
    </row>
    <row r="404" spans="1:9" x14ac:dyDescent="0.2">
      <c r="A404">
        <v>394</v>
      </c>
      <c r="B404">
        <v>1133895.5033545666</v>
      </c>
      <c r="C404">
        <v>99492.165276791318</v>
      </c>
      <c r="D404">
        <v>68992.207223098696</v>
      </c>
      <c r="E404">
        <v>110552.30760480337</v>
      </c>
      <c r="F404">
        <v>43653.621295717152</v>
      </c>
      <c r="G404">
        <v>10000</v>
      </c>
      <c r="H404">
        <v>312690.30140041054</v>
      </c>
      <c r="I404">
        <v>38.837985134983469</v>
      </c>
    </row>
    <row r="405" spans="1:9" x14ac:dyDescent="0.2">
      <c r="A405">
        <v>395</v>
      </c>
      <c r="B405">
        <v>1345086.448034079</v>
      </c>
      <c r="C405">
        <v>101584.7738797184</v>
      </c>
      <c r="D405">
        <v>103692.83095889058</v>
      </c>
      <c r="E405">
        <v>130273.41282416713</v>
      </c>
      <c r="F405">
        <v>45018.928580134649</v>
      </c>
      <c r="G405">
        <v>10000</v>
      </c>
      <c r="H405">
        <v>370569.94624291075</v>
      </c>
      <c r="I405">
        <v>28.08621637111311</v>
      </c>
    </row>
    <row r="406" spans="1:9" x14ac:dyDescent="0.2">
      <c r="A406">
        <v>396</v>
      </c>
      <c r="B406">
        <v>1136131.0257412482</v>
      </c>
      <c r="C406">
        <v>125865.05219931241</v>
      </c>
      <c r="D406">
        <v>44681.84548885085</v>
      </c>
      <c r="E406">
        <v>109196.33185461735</v>
      </c>
      <c r="F406">
        <v>43559.746051473514</v>
      </c>
      <c r="G406">
        <v>10000</v>
      </c>
      <c r="H406">
        <v>313302.97559425409</v>
      </c>
      <c r="I406">
        <v>31.139394138297003</v>
      </c>
    </row>
    <row r="407" spans="1:9" x14ac:dyDescent="0.2">
      <c r="A407">
        <v>397</v>
      </c>
      <c r="B407">
        <v>1272046.9895842639</v>
      </c>
      <c r="C407">
        <v>118977.20501620602</v>
      </c>
      <c r="D407">
        <v>77904.73366876255</v>
      </c>
      <c r="E407">
        <v>119404.14630604141</v>
      </c>
      <c r="F407">
        <v>44266.440898110559</v>
      </c>
      <c r="G407">
        <v>10000</v>
      </c>
      <c r="H407">
        <v>350552.52588912053</v>
      </c>
      <c r="I407">
        <v>29.560680874450682</v>
      </c>
    </row>
    <row r="408" spans="1:9" x14ac:dyDescent="0.2">
      <c r="A408">
        <v>398</v>
      </c>
      <c r="B408">
        <v>1215382.2798578674</v>
      </c>
      <c r="C408">
        <v>109810.12582804071</v>
      </c>
      <c r="D408">
        <v>78761.929272637528</v>
      </c>
      <c r="E408">
        <v>112651.79443598537</v>
      </c>
      <c r="F408">
        <v>43798.970384029752</v>
      </c>
      <c r="G408">
        <v>10000</v>
      </c>
      <c r="H408">
        <v>335022.81992069335</v>
      </c>
      <c r="I408">
        <v>34.421103859280606</v>
      </c>
    </row>
    <row r="409" spans="1:9" x14ac:dyDescent="0.2">
      <c r="A409">
        <v>399</v>
      </c>
      <c r="B409">
        <v>1637735.4330668072</v>
      </c>
      <c r="C409">
        <v>117750.63885684464</v>
      </c>
      <c r="D409">
        <v>164232.08361293253</v>
      </c>
      <c r="E409">
        <v>133546.0180595908</v>
      </c>
      <c r="F409">
        <v>45245.493557971669</v>
      </c>
      <c r="G409">
        <v>10000</v>
      </c>
      <c r="H409">
        <v>450774.2340873396</v>
      </c>
      <c r="I409">
        <v>34.1871885873297</v>
      </c>
    </row>
    <row r="410" spans="1:9" x14ac:dyDescent="0.2">
      <c r="A410">
        <v>400</v>
      </c>
      <c r="B410">
        <v>1257661.2196659259</v>
      </c>
      <c r="C410">
        <v>95298.506287786338</v>
      </c>
      <c r="D410">
        <v>69789.181858552518</v>
      </c>
      <c r="E410">
        <v>145452.44443822288</v>
      </c>
      <c r="F410">
        <v>46069.784614953889</v>
      </c>
      <c r="G410">
        <v>10000</v>
      </c>
      <c r="H410">
        <v>346609.91719951562</v>
      </c>
      <c r="I410">
        <v>40.243084294634158</v>
      </c>
    </row>
    <row r="411" spans="1:9" x14ac:dyDescent="0.2">
      <c r="A411">
        <v>401</v>
      </c>
      <c r="B411">
        <v>974834.23943322245</v>
      </c>
      <c r="C411">
        <v>104485.60237676805</v>
      </c>
      <c r="D411">
        <v>107050.09510156942</v>
      </c>
      <c r="E411">
        <v>29518.212402611945</v>
      </c>
      <c r="F411">
        <v>38043.568550950062</v>
      </c>
      <c r="G411">
        <v>10000</v>
      </c>
      <c r="H411">
        <v>269097.47843189945</v>
      </c>
      <c r="I411">
        <v>40.613790943687057</v>
      </c>
    </row>
    <row r="412" spans="1:9" x14ac:dyDescent="0.2">
      <c r="A412">
        <v>402</v>
      </c>
      <c r="B412">
        <v>1626562.6936532669</v>
      </c>
      <c r="C412">
        <v>155978.48774159339</v>
      </c>
      <c r="D412">
        <v>72024.146754232599</v>
      </c>
      <c r="E412">
        <v>181167.21812967595</v>
      </c>
      <c r="F412">
        <v>48542.345870516023</v>
      </c>
      <c r="G412">
        <v>10000</v>
      </c>
      <c r="H412">
        <v>447712.19849601795</v>
      </c>
      <c r="I412">
        <v>42.60652906579115</v>
      </c>
    </row>
    <row r="413" spans="1:9" x14ac:dyDescent="0.2">
      <c r="A413">
        <v>403</v>
      </c>
      <c r="B413">
        <v>1035767.3057164933</v>
      </c>
      <c r="C413">
        <v>79413.220184993173</v>
      </c>
      <c r="D413">
        <v>97229.933885012899</v>
      </c>
      <c r="E413">
        <v>77769.768463573695</v>
      </c>
      <c r="F413">
        <v>41384.060893632028</v>
      </c>
      <c r="G413">
        <v>10000</v>
      </c>
      <c r="H413">
        <v>285796.98342721176</v>
      </c>
      <c r="I413">
        <v>43.536086602942184</v>
      </c>
    </row>
    <row r="414" spans="1:9" x14ac:dyDescent="0.2">
      <c r="A414">
        <v>404</v>
      </c>
      <c r="B414">
        <v>965513.63675291475</v>
      </c>
      <c r="C414">
        <v>105079.12115194005</v>
      </c>
      <c r="D414">
        <v>62412.801426136895</v>
      </c>
      <c r="E414">
        <v>68321.193794758365</v>
      </c>
      <c r="F414">
        <v>40729.928801175578</v>
      </c>
      <c r="G414">
        <v>10000</v>
      </c>
      <c r="H414">
        <v>266543.04517401085</v>
      </c>
      <c r="I414">
        <v>25.600949797311038</v>
      </c>
    </row>
    <row r="415" spans="1:9" x14ac:dyDescent="0.2">
      <c r="A415">
        <v>405</v>
      </c>
      <c r="B415">
        <v>1093645.3450094822</v>
      </c>
      <c r="C415">
        <v>103849.50256237054</v>
      </c>
      <c r="D415">
        <v>126097.72945552241</v>
      </c>
      <c r="E415">
        <v>42752.217346048041</v>
      </c>
      <c r="F415">
        <v>38959.768893187946</v>
      </c>
      <c r="G415">
        <v>10000</v>
      </c>
      <c r="H415">
        <v>301659.2182571289</v>
      </c>
      <c r="I415">
        <v>33.595909559584683</v>
      </c>
    </row>
    <row r="416" spans="1:9" x14ac:dyDescent="0.2">
      <c r="A416">
        <v>406</v>
      </c>
      <c r="B416">
        <v>1580136.1893004989</v>
      </c>
      <c r="C416">
        <v>112142.58903436529</v>
      </c>
      <c r="D416">
        <v>134945.90509851652</v>
      </c>
      <c r="E416">
        <v>151417.18453082655</v>
      </c>
      <c r="F416">
        <v>46482.728159826453</v>
      </c>
      <c r="G416">
        <v>10000</v>
      </c>
      <c r="H416">
        <v>434988.40682353487</v>
      </c>
      <c r="I416">
        <v>35.28173215582175</v>
      </c>
    </row>
    <row r="417" spans="1:9" x14ac:dyDescent="0.2">
      <c r="A417">
        <v>407</v>
      </c>
      <c r="B417">
        <v>1392873.5952761283</v>
      </c>
      <c r="C417">
        <v>153745.23511388159</v>
      </c>
      <c r="D417">
        <v>101324.90780736049</v>
      </c>
      <c r="E417">
        <v>95953.558346657068</v>
      </c>
      <c r="F417">
        <v>42642.938654768564</v>
      </c>
      <c r="G417">
        <v>10000</v>
      </c>
      <c r="H417">
        <v>383666.6399226677</v>
      </c>
      <c r="I417">
        <v>39.229220903030722</v>
      </c>
    </row>
    <row r="418" spans="1:9" x14ac:dyDescent="0.2">
      <c r="A418">
        <v>408</v>
      </c>
      <c r="B418">
        <v>1377045.8236015339</v>
      </c>
      <c r="C418">
        <v>100809.09407407093</v>
      </c>
      <c r="D418">
        <v>117735.60917908186</v>
      </c>
      <c r="E418">
        <v>126057.09860591132</v>
      </c>
      <c r="F418">
        <v>44727.029903486167</v>
      </c>
      <c r="G418">
        <v>10000</v>
      </c>
      <c r="H418">
        <v>379328.83176255028</v>
      </c>
      <c r="I418">
        <v>32.990280236184724</v>
      </c>
    </row>
    <row r="419" spans="1:9" x14ac:dyDescent="0.2">
      <c r="A419">
        <v>409</v>
      </c>
      <c r="B419">
        <v>1303668.7624516252</v>
      </c>
      <c r="C419">
        <v>127987.67303291686</v>
      </c>
      <c r="D419">
        <v>111089.2181165427</v>
      </c>
      <c r="E419">
        <v>88046.470907968338</v>
      </c>
      <c r="F419">
        <v>42095.524909013191</v>
      </c>
      <c r="G419">
        <v>10000</v>
      </c>
      <c r="H419">
        <v>359218.88696644112</v>
      </c>
      <c r="I419">
        <v>43.204889932175107</v>
      </c>
    </row>
    <row r="420" spans="1:9" x14ac:dyDescent="0.2">
      <c r="A420">
        <v>410</v>
      </c>
      <c r="B420">
        <v>1434500.9609341279</v>
      </c>
      <c r="C420">
        <v>133352.06006916001</v>
      </c>
      <c r="D420">
        <v>136141.37023718507</v>
      </c>
      <c r="E420">
        <v>93133.996261442124</v>
      </c>
      <c r="F420">
        <v>42447.738202715227</v>
      </c>
      <c r="G420">
        <v>10000</v>
      </c>
      <c r="H420">
        <v>395075.16477050248</v>
      </c>
      <c r="I420">
        <v>44.419362129863742</v>
      </c>
    </row>
    <row r="421" spans="1:9" x14ac:dyDescent="0.2">
      <c r="A421">
        <v>411</v>
      </c>
      <c r="B421">
        <v>1788646.4226969492</v>
      </c>
      <c r="C421">
        <v>106828.56262030308</v>
      </c>
      <c r="D421">
        <v>154590.31846135249</v>
      </c>
      <c r="E421">
        <v>191459.59172976055</v>
      </c>
      <c r="F421">
        <v>49254.894812060345</v>
      </c>
      <c r="G421">
        <v>10000</v>
      </c>
      <c r="H421">
        <v>492133.36762347649</v>
      </c>
      <c r="I421">
        <v>31.626158499067472</v>
      </c>
    </row>
    <row r="422" spans="1:9" x14ac:dyDescent="0.2">
      <c r="A422">
        <v>412</v>
      </c>
      <c r="B422">
        <v>1416860.5068076164</v>
      </c>
      <c r="C422">
        <v>82386.008439267811</v>
      </c>
      <c r="D422">
        <v>108029.94073512292</v>
      </c>
      <c r="E422">
        <v>162569.78667966396</v>
      </c>
      <c r="F422">
        <v>47254.831385515194</v>
      </c>
      <c r="G422">
        <v>10000</v>
      </c>
      <c r="H422">
        <v>390240.56723956985</v>
      </c>
      <c r="I422">
        <v>32.112671707767262</v>
      </c>
    </row>
    <row r="423" spans="1:9" x14ac:dyDescent="0.2">
      <c r="A423">
        <v>413</v>
      </c>
      <c r="B423">
        <v>1351145.2591728817</v>
      </c>
      <c r="C423">
        <v>124491.01629497859</v>
      </c>
      <c r="D423">
        <v>72559.660046028424</v>
      </c>
      <c r="E423">
        <v>139520.6448912686</v>
      </c>
      <c r="F423">
        <v>45659.121569395516</v>
      </c>
      <c r="G423">
        <v>10000</v>
      </c>
      <c r="H423">
        <v>372230.4428016711</v>
      </c>
      <c r="I423">
        <v>30.415611554128937</v>
      </c>
    </row>
    <row r="424" spans="1:9" x14ac:dyDescent="0.2">
      <c r="A424">
        <v>414</v>
      </c>
      <c r="B424">
        <v>1474883.6895965806</v>
      </c>
      <c r="C424">
        <v>97173.710000323597</v>
      </c>
      <c r="D424">
        <v>122634.98952763379</v>
      </c>
      <c r="E424">
        <v>149952.55059226148</v>
      </c>
      <c r="F424">
        <v>46381.3304256181</v>
      </c>
      <c r="G424">
        <v>10000</v>
      </c>
      <c r="H424">
        <v>406142.58054583694</v>
      </c>
      <c r="I424">
        <v>45.04882040849175</v>
      </c>
    </row>
    <row r="425" spans="1:9" x14ac:dyDescent="0.2">
      <c r="A425">
        <v>415</v>
      </c>
      <c r="B425">
        <v>886587.59927477106</v>
      </c>
      <c r="C425">
        <v>109514.78152913872</v>
      </c>
      <c r="D425">
        <v>66947.534017418817</v>
      </c>
      <c r="E425">
        <v>39701.453046882911</v>
      </c>
      <c r="F425">
        <v>38748.562134014966</v>
      </c>
      <c r="G425">
        <v>10000</v>
      </c>
      <c r="H425">
        <v>244912.33072745541</v>
      </c>
      <c r="I425">
        <v>34.481240839376923</v>
      </c>
    </row>
    <row r="426" spans="1:9" x14ac:dyDescent="0.2">
      <c r="A426">
        <v>416</v>
      </c>
      <c r="B426">
        <v>1372117.9331470064</v>
      </c>
      <c r="C426">
        <v>142280.46684730999</v>
      </c>
      <c r="D426">
        <v>81408.705518800707</v>
      </c>
      <c r="E426">
        <v>119982.61755763539</v>
      </c>
      <c r="F426">
        <v>44306.488907836298</v>
      </c>
      <c r="G426">
        <v>10000</v>
      </c>
      <c r="H426">
        <v>377978.2788315824</v>
      </c>
      <c r="I426">
        <v>42.415271562903982</v>
      </c>
    </row>
    <row r="427" spans="1:9" x14ac:dyDescent="0.2">
      <c r="A427">
        <v>417</v>
      </c>
      <c r="B427">
        <v>1082399.5388149156</v>
      </c>
      <c r="C427">
        <v>137150.19346798756</v>
      </c>
      <c r="D427">
        <v>28323.871975908041</v>
      </c>
      <c r="E427">
        <v>100168.35971761309</v>
      </c>
      <c r="F427">
        <v>42934.732595834757</v>
      </c>
      <c r="G427">
        <v>10000</v>
      </c>
      <c r="H427">
        <v>298577.15775734343</v>
      </c>
      <c r="I427">
        <v>36.217248137776132</v>
      </c>
    </row>
    <row r="428" spans="1:9" x14ac:dyDescent="0.2">
      <c r="A428">
        <v>418</v>
      </c>
      <c r="B428">
        <v>1460453.0478770428</v>
      </c>
      <c r="C428">
        <v>112063.43307277109</v>
      </c>
      <c r="D428">
        <v>122117.02753798742</v>
      </c>
      <c r="E428">
        <v>132812.50187247133</v>
      </c>
      <c r="F428">
        <v>45194.711668094169</v>
      </c>
      <c r="G428">
        <v>10000</v>
      </c>
      <c r="H428">
        <v>402187.67415132397</v>
      </c>
      <c r="I428">
        <v>33.790999488549403</v>
      </c>
    </row>
    <row r="429" spans="1:9" x14ac:dyDescent="0.2">
      <c r="A429">
        <v>419</v>
      </c>
      <c r="B429">
        <v>1347615.0638316318</v>
      </c>
      <c r="C429">
        <v>90988.550117129867</v>
      </c>
      <c r="D429">
        <v>141804.52022248413</v>
      </c>
      <c r="E429">
        <v>105187.65398663291</v>
      </c>
      <c r="F429">
        <v>43282.222199074589</v>
      </c>
      <c r="G429">
        <v>10000</v>
      </c>
      <c r="H429">
        <v>371262.94652532146</v>
      </c>
      <c r="I429">
        <v>43.145938720487976</v>
      </c>
    </row>
    <row r="430" spans="1:9" x14ac:dyDescent="0.2">
      <c r="A430">
        <v>420</v>
      </c>
      <c r="B430">
        <v>1646289.2641121258</v>
      </c>
      <c r="C430">
        <v>135912.84890469699</v>
      </c>
      <c r="D430">
        <v>104923.41055962357</v>
      </c>
      <c r="E430">
        <v>174220.82251166881</v>
      </c>
      <c r="F430">
        <v>48061.441558500148</v>
      </c>
      <c r="G430">
        <v>10000</v>
      </c>
      <c r="H430">
        <v>453118.52353448956</v>
      </c>
      <c r="I430">
        <v>43.351122062134877</v>
      </c>
    </row>
    <row r="431" spans="1:9" x14ac:dyDescent="0.2">
      <c r="A431">
        <v>421</v>
      </c>
      <c r="B431">
        <v>1347433.057393369</v>
      </c>
      <c r="C431">
        <v>166996.75161264508</v>
      </c>
      <c r="D431">
        <v>103217.25457882669</v>
      </c>
      <c r="E431">
        <v>70143.004899908978</v>
      </c>
      <c r="F431">
        <v>40856.054185378307</v>
      </c>
      <c r="G431">
        <v>10000</v>
      </c>
      <c r="H431">
        <v>371213.06527675904</v>
      </c>
      <c r="I431">
        <v>33.989495157401215</v>
      </c>
    </row>
    <row r="432" spans="1:9" x14ac:dyDescent="0.2">
      <c r="A432">
        <v>422</v>
      </c>
      <c r="B432">
        <v>1156306.608949983</v>
      </c>
      <c r="C432">
        <v>97846.393229167777</v>
      </c>
      <c r="D432">
        <v>58642.196213857205</v>
      </c>
      <c r="E432">
        <v>127515.75519440482</v>
      </c>
      <c r="F432">
        <v>44828.0138211511</v>
      </c>
      <c r="G432">
        <v>10000</v>
      </c>
      <c r="H432">
        <v>318832.35845858091</v>
      </c>
      <c r="I432">
        <v>30.233561155406271</v>
      </c>
    </row>
    <row r="433" spans="1:9" x14ac:dyDescent="0.2">
      <c r="A433">
        <v>423</v>
      </c>
      <c r="B433">
        <v>1578722.7228059161</v>
      </c>
      <c r="C433">
        <v>139106.10895899677</v>
      </c>
      <c r="D433">
        <v>65465.534391334761</v>
      </c>
      <c r="E433">
        <v>190818.84878016388</v>
      </c>
      <c r="F433">
        <v>49210.535684780574</v>
      </c>
      <c r="G433">
        <v>10000</v>
      </c>
      <c r="H433">
        <v>434601.02781527594</v>
      </c>
      <c r="I433">
        <v>31.184371212811367</v>
      </c>
    </row>
    <row r="434" spans="1:9" x14ac:dyDescent="0.2">
      <c r="A434">
        <v>424</v>
      </c>
      <c r="B434">
        <v>1287129.2257991661</v>
      </c>
      <c r="C434">
        <v>104411.1634835046</v>
      </c>
      <c r="D434">
        <v>46204.593357063262</v>
      </c>
      <c r="E434">
        <v>166540.52480930617</v>
      </c>
      <c r="F434">
        <v>47529.728640644273</v>
      </c>
      <c r="G434">
        <v>10000</v>
      </c>
      <c r="H434">
        <v>354686.01029051834</v>
      </c>
      <c r="I434">
        <v>35.404493235478206</v>
      </c>
    </row>
    <row r="435" spans="1:9" x14ac:dyDescent="0.2">
      <c r="A435">
        <v>425</v>
      </c>
      <c r="B435">
        <v>1254035.9057408422</v>
      </c>
      <c r="C435">
        <v>148360.04779346302</v>
      </c>
      <c r="D435">
        <v>83130.699409081848</v>
      </c>
      <c r="E435">
        <v>82419.630787593647</v>
      </c>
      <c r="F435">
        <v>41705.9744391411</v>
      </c>
      <c r="G435">
        <v>10000</v>
      </c>
      <c r="H435">
        <v>345616.35242927965</v>
      </c>
      <c r="I435">
        <v>35.994344878907299</v>
      </c>
    </row>
    <row r="436" spans="1:9" x14ac:dyDescent="0.2">
      <c r="A436">
        <v>426</v>
      </c>
      <c r="B436">
        <v>1318530.1794740432</v>
      </c>
      <c r="C436">
        <v>134421.76861021848</v>
      </c>
      <c r="D436">
        <v>54946.685066002225</v>
      </c>
      <c r="E436">
        <v>138345.62524398844</v>
      </c>
      <c r="F436">
        <v>45577.774055353046</v>
      </c>
      <c r="G436">
        <v>10000</v>
      </c>
      <c r="H436">
        <v>363291.85297556221</v>
      </c>
      <c r="I436">
        <v>31.20482825904384</v>
      </c>
    </row>
    <row r="437" spans="1:9" x14ac:dyDescent="0.2">
      <c r="A437">
        <v>427</v>
      </c>
      <c r="B437">
        <v>1301039.3155659812</v>
      </c>
      <c r="C437">
        <v>91058.554019553616</v>
      </c>
      <c r="D437">
        <v>46036.24488424883</v>
      </c>
      <c r="E437">
        <v>182751.43151772377</v>
      </c>
      <c r="F437">
        <v>48652.022181996261</v>
      </c>
      <c r="G437">
        <v>10000</v>
      </c>
      <c r="H437">
        <v>358498.2526035225</v>
      </c>
      <c r="I437">
        <v>34.987927793058276</v>
      </c>
    </row>
    <row r="438" spans="1:9" x14ac:dyDescent="0.2">
      <c r="A438">
        <v>428</v>
      </c>
      <c r="B438">
        <v>1184832.8415270988</v>
      </c>
      <c r="C438">
        <v>118023.43866773541</v>
      </c>
      <c r="D438">
        <v>125266.91021305554</v>
      </c>
      <c r="E438">
        <v>53646.040630153911</v>
      </c>
      <c r="F438">
        <v>39713.956659010655</v>
      </c>
      <c r="G438">
        <v>10000</v>
      </c>
      <c r="H438">
        <v>326650.3461699555</v>
      </c>
      <c r="I438">
        <v>47.736849055709548</v>
      </c>
    </row>
    <row r="439" spans="1:9" x14ac:dyDescent="0.2">
      <c r="A439">
        <v>429</v>
      </c>
      <c r="B439">
        <v>1412774.4057267206</v>
      </c>
      <c r="C439">
        <v>120057.7599634184</v>
      </c>
      <c r="D439">
        <v>91083.345668050883</v>
      </c>
      <c r="E439">
        <v>142139.2055441539</v>
      </c>
      <c r="F439">
        <v>45840.406537672192</v>
      </c>
      <c r="G439">
        <v>10000</v>
      </c>
      <c r="H439">
        <v>389120.71771329542</v>
      </c>
      <c r="I439">
        <v>40.377432583451146</v>
      </c>
    </row>
    <row r="440" spans="1:9" x14ac:dyDescent="0.2">
      <c r="A440">
        <v>430</v>
      </c>
      <c r="B440">
        <v>1590789.0181749943</v>
      </c>
      <c r="C440">
        <v>124486.06992955669</v>
      </c>
      <c r="D440">
        <v>135042.48211525116</v>
      </c>
      <c r="E440">
        <v>142513.10985558896</v>
      </c>
      <c r="F440">
        <v>45866.292220771546</v>
      </c>
      <c r="G440">
        <v>10000</v>
      </c>
      <c r="H440">
        <v>437907.95412116835</v>
      </c>
      <c r="I440">
        <v>44.759041246788684</v>
      </c>
    </row>
    <row r="441" spans="1:9" x14ac:dyDescent="0.2">
      <c r="A441">
        <v>431</v>
      </c>
      <c r="B441">
        <v>1115282.6141543838</v>
      </c>
      <c r="C441">
        <v>127215.24803366233</v>
      </c>
      <c r="D441">
        <v>91741.590788855581</v>
      </c>
      <c r="E441">
        <v>58577.024043053876</v>
      </c>
      <c r="F441">
        <v>40055.332433749885</v>
      </c>
      <c r="G441">
        <v>10000</v>
      </c>
      <c r="H441">
        <v>307589.19529932161</v>
      </c>
      <c r="I441">
        <v>31.161790631198322</v>
      </c>
    </row>
    <row r="442" spans="1:9" x14ac:dyDescent="0.2">
      <c r="A442">
        <v>432</v>
      </c>
      <c r="B442">
        <v>1332530.9073943673</v>
      </c>
      <c r="C442">
        <v>81223.804249855864</v>
      </c>
      <c r="D442">
        <v>116462.27508026402</v>
      </c>
      <c r="E442">
        <v>134155.18956203264</v>
      </c>
      <c r="F442">
        <v>45287.666969679187</v>
      </c>
      <c r="G442">
        <v>10000</v>
      </c>
      <c r="H442">
        <v>367128.93586183171</v>
      </c>
      <c r="I442">
        <v>45.207890634243391</v>
      </c>
    </row>
    <row r="443" spans="1:9" x14ac:dyDescent="0.2">
      <c r="A443">
        <v>433</v>
      </c>
      <c r="B443">
        <v>1481772.397212809</v>
      </c>
      <c r="C443">
        <v>164727.82816773932</v>
      </c>
      <c r="D443">
        <v>67599.682302586487</v>
      </c>
      <c r="E443">
        <v>140010.00994637577</v>
      </c>
      <c r="F443">
        <v>45693.000688595246</v>
      </c>
      <c r="G443">
        <v>10000</v>
      </c>
      <c r="H443">
        <v>408030.52110529679</v>
      </c>
      <c r="I443">
        <v>34.562803135274279</v>
      </c>
    </row>
    <row r="444" spans="1:9" x14ac:dyDescent="0.2">
      <c r="A444">
        <v>434</v>
      </c>
      <c r="B444">
        <v>1682698.0496177301</v>
      </c>
      <c r="C444">
        <v>103768.88943724579</v>
      </c>
      <c r="D444">
        <v>112941.30054629139</v>
      </c>
      <c r="E444">
        <v>206116.99970703156</v>
      </c>
      <c r="F444">
        <v>50269.638441256029</v>
      </c>
      <c r="G444">
        <v>10000</v>
      </c>
      <c r="H444">
        <v>463096.82813182473</v>
      </c>
      <c r="I444">
        <v>31.149331670526784</v>
      </c>
    </row>
    <row r="445" spans="1:9" x14ac:dyDescent="0.2">
      <c r="A445">
        <v>435</v>
      </c>
      <c r="B445">
        <v>1485162.0209524636</v>
      </c>
      <c r="C445">
        <v>121791.457723755</v>
      </c>
      <c r="D445">
        <v>166657.25957193755</v>
      </c>
      <c r="E445">
        <v>88391.371925389802</v>
      </c>
      <c r="F445">
        <v>42119.402671757751</v>
      </c>
      <c r="G445">
        <v>10000</v>
      </c>
      <c r="H445">
        <v>408959.49189284007</v>
      </c>
      <c r="I445">
        <v>24.883815486122828</v>
      </c>
    </row>
    <row r="446" spans="1:9" x14ac:dyDescent="0.2">
      <c r="A446">
        <v>436</v>
      </c>
      <c r="B446">
        <v>1522416.8062044687</v>
      </c>
      <c r="C446">
        <v>111766.0339852327</v>
      </c>
      <c r="D446">
        <v>76797.451638990402</v>
      </c>
      <c r="E446">
        <v>191358.28678560635</v>
      </c>
      <c r="F446">
        <v>49247.881392849667</v>
      </c>
      <c r="G446">
        <v>10000</v>
      </c>
      <c r="H446">
        <v>419169.65380267909</v>
      </c>
      <c r="I446">
        <v>38.169699263093612</v>
      </c>
    </row>
    <row r="447" spans="1:9" x14ac:dyDescent="0.2">
      <c r="A447">
        <v>437</v>
      </c>
      <c r="B447">
        <v>1965666.8204316222</v>
      </c>
      <c r="C447">
        <v>149424.65380059156</v>
      </c>
      <c r="D447">
        <v>153355.90269275781</v>
      </c>
      <c r="E447">
        <v>198149.52587330231</v>
      </c>
      <c r="F447">
        <v>49718.044098920931</v>
      </c>
      <c r="G447">
        <v>10000</v>
      </c>
      <c r="H447">
        <v>540648.12646557263</v>
      </c>
      <c r="I447">
        <v>45.482925858819044</v>
      </c>
    </row>
    <row r="448" spans="1:9" x14ac:dyDescent="0.2">
      <c r="A448">
        <v>438</v>
      </c>
      <c r="B448">
        <v>1269139.7958204728</v>
      </c>
      <c r="C448">
        <v>103794.80739885889</v>
      </c>
      <c r="D448">
        <v>85632.709525368671</v>
      </c>
      <c r="E448">
        <v>125630.7415548546</v>
      </c>
      <c r="F448">
        <v>44697.512876874549</v>
      </c>
      <c r="G448">
        <v>10000</v>
      </c>
      <c r="H448">
        <v>349755.77135595668</v>
      </c>
      <c r="I448">
        <v>31.540903619127249</v>
      </c>
    </row>
    <row r="449" spans="1:9" x14ac:dyDescent="0.2">
      <c r="A449">
        <v>439</v>
      </c>
      <c r="B449">
        <v>1831115.3019841213</v>
      </c>
      <c r="C449">
        <v>159046.97048084284</v>
      </c>
      <c r="D449">
        <v>105903.84624358654</v>
      </c>
      <c r="E449">
        <v>199041.88104622488</v>
      </c>
      <c r="F449">
        <v>49779.822533969411</v>
      </c>
      <c r="G449">
        <v>10000</v>
      </c>
      <c r="H449">
        <v>503772.52030462364</v>
      </c>
      <c r="I449">
        <v>32.266473112254801</v>
      </c>
    </row>
    <row r="450" spans="1:9" x14ac:dyDescent="0.2">
      <c r="A450">
        <v>440</v>
      </c>
      <c r="B450">
        <v>1265288.7115951078</v>
      </c>
      <c r="C450">
        <v>106365.97977007345</v>
      </c>
      <c r="D450">
        <v>79258.479634540738</v>
      </c>
      <c r="E450">
        <v>128200.45570845083</v>
      </c>
      <c r="F450">
        <v>44875.416164431212</v>
      </c>
      <c r="G450">
        <v>10000</v>
      </c>
      <c r="H450">
        <v>348700.33127749618</v>
      </c>
      <c r="I450">
        <v>32.081682779902643</v>
      </c>
    </row>
    <row r="451" spans="1:9" x14ac:dyDescent="0.2">
      <c r="A451">
        <v>441</v>
      </c>
      <c r="B451">
        <v>1395361.8663294008</v>
      </c>
      <c r="C451">
        <v>101653.31908212122</v>
      </c>
      <c r="D451">
        <v>84297.871322532315</v>
      </c>
      <c r="E451">
        <v>161234.97167855909</v>
      </c>
      <c r="F451">
        <v>47162.421116207937</v>
      </c>
      <c r="G451">
        <v>10000</v>
      </c>
      <c r="H451">
        <v>384348.58319942059</v>
      </c>
      <c r="I451">
        <v>47.066363699614918</v>
      </c>
    </row>
    <row r="452" spans="1:9" x14ac:dyDescent="0.2">
      <c r="A452">
        <v>442</v>
      </c>
      <c r="B452">
        <v>842070.60689524096</v>
      </c>
      <c r="C452">
        <v>86269.973327304586</v>
      </c>
      <c r="D452">
        <v>88890.645867660758</v>
      </c>
      <c r="E452">
        <v>29508.360157122715</v>
      </c>
      <c r="F452">
        <v>38042.88647241619</v>
      </c>
      <c r="G452">
        <v>10000</v>
      </c>
      <c r="H452">
        <v>232711.86582450426</v>
      </c>
      <c r="I452">
        <v>38.259106197648094</v>
      </c>
    </row>
    <row r="453" spans="1:9" x14ac:dyDescent="0.2">
      <c r="A453">
        <v>443</v>
      </c>
      <c r="B453">
        <v>1061897.3537047801</v>
      </c>
      <c r="C453">
        <v>110946.31905962357</v>
      </c>
      <c r="D453">
        <v>73843.903605031359</v>
      </c>
      <c r="E453">
        <v>76847.809718514749</v>
      </c>
      <c r="F453">
        <v>41320.232980512563</v>
      </c>
      <c r="G453">
        <v>10000</v>
      </c>
      <c r="H453">
        <v>292958.26536368224</v>
      </c>
      <c r="I453">
        <v>35.439350890227473</v>
      </c>
    </row>
    <row r="454" spans="1:9" x14ac:dyDescent="0.2">
      <c r="A454">
        <v>444</v>
      </c>
      <c r="B454">
        <v>950420.43128063052</v>
      </c>
      <c r="C454">
        <v>74537.737426031381</v>
      </c>
      <c r="D454">
        <v>90940.27766836017</v>
      </c>
      <c r="E454">
        <v>66336.044052093726</v>
      </c>
      <c r="F454">
        <v>40592.495357452644</v>
      </c>
      <c r="G454">
        <v>10000</v>
      </c>
      <c r="H454">
        <v>262406.55450393789</v>
      </c>
      <c r="I454">
        <v>26.3737414736066</v>
      </c>
    </row>
    <row r="455" spans="1:9" x14ac:dyDescent="0.2">
      <c r="A455">
        <v>445</v>
      </c>
      <c r="B455">
        <v>984654.14390915155</v>
      </c>
      <c r="C455">
        <v>129177.37188553916</v>
      </c>
      <c r="D455">
        <v>53261.738326569604</v>
      </c>
      <c r="E455">
        <v>59247.866315002888</v>
      </c>
      <c r="F455">
        <v>40101.775360269428</v>
      </c>
      <c r="G455">
        <v>10000</v>
      </c>
      <c r="H455">
        <v>271788.75188738108</v>
      </c>
      <c r="I455">
        <v>30.366136128564388</v>
      </c>
    </row>
    <row r="456" spans="1:9" x14ac:dyDescent="0.2">
      <c r="A456">
        <v>446</v>
      </c>
      <c r="B456">
        <v>1033759.9810749325</v>
      </c>
      <c r="C456">
        <v>102126.6136031835</v>
      </c>
      <c r="D456">
        <v>127209.58227529422</v>
      </c>
      <c r="E456">
        <v>27973.992889944155</v>
      </c>
      <c r="F456">
        <v>37936.661046226909</v>
      </c>
      <c r="G456">
        <v>10000</v>
      </c>
      <c r="H456">
        <v>285246.84981464874</v>
      </c>
      <c r="I456">
        <v>37.695533563447952</v>
      </c>
    </row>
    <row r="457" spans="1:9" x14ac:dyDescent="0.2">
      <c r="A457">
        <v>447</v>
      </c>
      <c r="B457">
        <v>1530800.6211499064</v>
      </c>
      <c r="C457">
        <v>101899.33062925113</v>
      </c>
      <c r="D457">
        <v>95224.709537833813</v>
      </c>
      <c r="E457">
        <v>185500.93548670798</v>
      </c>
      <c r="F457">
        <v>48842.372456772086</v>
      </c>
      <c r="G457">
        <v>10000</v>
      </c>
      <c r="H457">
        <v>421467.34811056504</v>
      </c>
      <c r="I457">
        <v>48.610513211719628</v>
      </c>
    </row>
    <row r="458" spans="1:9" x14ac:dyDescent="0.2">
      <c r="A458">
        <v>448</v>
      </c>
      <c r="B458">
        <v>1395267.0191352423</v>
      </c>
      <c r="C458">
        <v>95056.243296828063</v>
      </c>
      <c r="D458">
        <v>80681.944406710289</v>
      </c>
      <c r="E458">
        <v>170762.38977975462</v>
      </c>
      <c r="F458">
        <v>47822.011600136859</v>
      </c>
      <c r="G458">
        <v>10000</v>
      </c>
      <c r="H458">
        <v>384322.58908342983</v>
      </c>
      <c r="I458">
        <v>32.618266953317445</v>
      </c>
    </row>
    <row r="459" spans="1:9" x14ac:dyDescent="0.2">
      <c r="A459">
        <v>449</v>
      </c>
      <c r="B459">
        <v>915951.5021328046</v>
      </c>
      <c r="C459">
        <v>80761.456888391447</v>
      </c>
      <c r="D459">
        <v>61208.849532375883</v>
      </c>
      <c r="E459">
        <v>79486.663662498468</v>
      </c>
      <c r="F459">
        <v>41502.922868942202</v>
      </c>
      <c r="G459">
        <v>10000</v>
      </c>
      <c r="H459">
        <v>252959.892952208</v>
      </c>
      <c r="I459">
        <v>50.938060283332476</v>
      </c>
    </row>
    <row r="460" spans="1:9" x14ac:dyDescent="0.2">
      <c r="A460">
        <v>450</v>
      </c>
      <c r="B460">
        <v>915133.90813248151</v>
      </c>
      <c r="C460">
        <v>123198.7046297888</v>
      </c>
      <c r="D460">
        <v>70990.070098524244</v>
      </c>
      <c r="E460">
        <v>30439.68319543804</v>
      </c>
      <c r="F460">
        <v>38107.362682761093</v>
      </c>
      <c r="G460">
        <v>10000</v>
      </c>
      <c r="H460">
        <v>252735.82060651213</v>
      </c>
      <c r="I460">
        <v>37.167664530774957</v>
      </c>
    </row>
    <row r="461" spans="1:9" x14ac:dyDescent="0.2">
      <c r="A461">
        <v>451</v>
      </c>
      <c r="B461">
        <v>1196658.1416876866</v>
      </c>
      <c r="C461">
        <v>93661.368771541354</v>
      </c>
      <c r="D461">
        <v>98442.983944146632</v>
      </c>
      <c r="E461">
        <v>104548.87296858034</v>
      </c>
      <c r="F461">
        <v>43237.998897824793</v>
      </c>
      <c r="G461">
        <v>10000</v>
      </c>
      <c r="H461">
        <v>329891.22458209313</v>
      </c>
      <c r="I461">
        <v>52.048933433100125</v>
      </c>
    </row>
    <row r="462" spans="1:9" x14ac:dyDescent="0.2">
      <c r="A462">
        <v>452</v>
      </c>
      <c r="B462">
        <v>1101790.6436431143</v>
      </c>
      <c r="C462">
        <v>114638.95562432549</v>
      </c>
      <c r="D462">
        <v>35092.619519047817</v>
      </c>
      <c r="E462">
        <v>119861.84141913208</v>
      </c>
      <c r="F462">
        <v>44298.12748286299</v>
      </c>
      <c r="G462">
        <v>10000</v>
      </c>
      <c r="H462">
        <v>303891.54404536838</v>
      </c>
      <c r="I462">
        <v>47.568244083751885</v>
      </c>
    </row>
    <row r="463" spans="1:9" x14ac:dyDescent="0.2">
      <c r="A463">
        <v>453</v>
      </c>
      <c r="B463">
        <v>1537074.0306994729</v>
      </c>
      <c r="C463">
        <v>106954.28036602728</v>
      </c>
      <c r="D463">
        <v>135113.05137756438</v>
      </c>
      <c r="E463">
        <v>145075.62903646019</v>
      </c>
      <c r="F463">
        <v>46043.697394831855</v>
      </c>
      <c r="G463">
        <v>10000</v>
      </c>
      <c r="H463">
        <v>423186.65817488369</v>
      </c>
      <c r="I463">
        <v>45.915808124162069</v>
      </c>
    </row>
    <row r="464" spans="1:9" x14ac:dyDescent="0.2">
      <c r="A464">
        <v>454</v>
      </c>
      <c r="B464">
        <v>1603019.8512024065</v>
      </c>
      <c r="C464">
        <v>164120.0099866002</v>
      </c>
      <c r="D464">
        <v>71632.326186759034</v>
      </c>
      <c r="E464">
        <v>167884.84125221908</v>
      </c>
      <c r="F464">
        <v>47622.796702076703</v>
      </c>
      <c r="G464">
        <v>10000</v>
      </c>
      <c r="H464">
        <v>441259.97412765503</v>
      </c>
      <c r="I464">
        <v>38.978451191619513</v>
      </c>
    </row>
    <row r="465" spans="1:9" x14ac:dyDescent="0.2">
      <c r="A465">
        <v>455</v>
      </c>
      <c r="B465">
        <v>951390.94942489173</v>
      </c>
      <c r="C465">
        <v>91488.521207579397</v>
      </c>
      <c r="D465">
        <v>87740.021375850207</v>
      </c>
      <c r="E465">
        <v>53724.599762851882</v>
      </c>
      <c r="F465">
        <v>39719.395368197438</v>
      </c>
      <c r="G465">
        <v>10000</v>
      </c>
      <c r="H465">
        <v>262672.53771447891</v>
      </c>
      <c r="I465">
        <v>48.412174712458814</v>
      </c>
    </row>
    <row r="466" spans="1:9" x14ac:dyDescent="0.2">
      <c r="A466">
        <v>456</v>
      </c>
      <c r="B466">
        <v>1501305.8707440181</v>
      </c>
      <c r="C466">
        <v>106105.4480602136</v>
      </c>
      <c r="D466">
        <v>122100.94238967495</v>
      </c>
      <c r="E466">
        <v>148871.07585384912</v>
      </c>
      <c r="F466">
        <v>46306.459097574167</v>
      </c>
      <c r="G466">
        <v>10000</v>
      </c>
      <c r="H466">
        <v>413383.92540131183</v>
      </c>
      <c r="I466">
        <v>45.284197426820342</v>
      </c>
    </row>
    <row r="467" spans="1:9" x14ac:dyDescent="0.2">
      <c r="A467">
        <v>457</v>
      </c>
      <c r="B467">
        <v>1505976.0251127263</v>
      </c>
      <c r="C467">
        <v>106376.70027425684</v>
      </c>
      <c r="D467">
        <v>73994.095281186019</v>
      </c>
      <c r="E467">
        <v>194806.44667213189</v>
      </c>
      <c r="F467">
        <v>49486.600154224514</v>
      </c>
      <c r="G467">
        <v>10000</v>
      </c>
      <c r="H467">
        <v>414663.84238179924</v>
      </c>
      <c r="I467">
        <v>40.820163398145851</v>
      </c>
    </row>
    <row r="468" spans="1:9" x14ac:dyDescent="0.2">
      <c r="A468">
        <v>458</v>
      </c>
      <c r="B468">
        <v>1525086.8955298758</v>
      </c>
      <c r="C468">
        <v>130443.14941806774</v>
      </c>
      <c r="D468">
        <v>146927.72162733713</v>
      </c>
      <c r="E468">
        <v>108985.41181809816</v>
      </c>
      <c r="F468">
        <v>43545.143895099107</v>
      </c>
      <c r="G468">
        <v>10000</v>
      </c>
      <c r="H468">
        <v>419901.42675860215</v>
      </c>
      <c r="I468">
        <v>33.008321892001675</v>
      </c>
    </row>
    <row r="469" spans="1:9" x14ac:dyDescent="0.2">
      <c r="A469">
        <v>459</v>
      </c>
      <c r="B469">
        <v>1414546.7407754741</v>
      </c>
      <c r="C469">
        <v>119674.05887731323</v>
      </c>
      <c r="D469">
        <v>128306.04883446115</v>
      </c>
      <c r="E469">
        <v>108139.74397796362</v>
      </c>
      <c r="F469">
        <v>43486.597660012863</v>
      </c>
      <c r="G469">
        <v>10000</v>
      </c>
      <c r="H469">
        <v>389606.44934975088</v>
      </c>
      <c r="I469">
        <v>38.373403283680759</v>
      </c>
    </row>
    <row r="470" spans="1:9" x14ac:dyDescent="0.2">
      <c r="A470">
        <v>460</v>
      </c>
      <c r="B470">
        <v>1939382.0223005882</v>
      </c>
      <c r="C470">
        <v>161670.55003708863</v>
      </c>
      <c r="D470">
        <v>127210.68927086942</v>
      </c>
      <c r="E470">
        <v>204411.62021052366</v>
      </c>
      <c r="F470">
        <v>50151.573706882402</v>
      </c>
      <c r="G470">
        <v>10000</v>
      </c>
      <c r="H470">
        <v>533444.43322536408</v>
      </c>
      <c r="I470">
        <v>36.494630126028454</v>
      </c>
    </row>
    <row r="471" spans="1:9" x14ac:dyDescent="0.2">
      <c r="A471">
        <v>461</v>
      </c>
      <c r="B471">
        <v>1582191.0109492473</v>
      </c>
      <c r="C471">
        <v>102109.77469806338</v>
      </c>
      <c r="D471">
        <v>92380.83695209623</v>
      </c>
      <c r="E471">
        <v>201136.13651209802</v>
      </c>
      <c r="F471">
        <v>49924.809450837551</v>
      </c>
      <c r="G471">
        <v>10000</v>
      </c>
      <c r="H471">
        <v>435551.55761309515</v>
      </c>
      <c r="I471">
        <v>26.256002658370157</v>
      </c>
    </row>
    <row r="472" spans="1:9" x14ac:dyDescent="0.2">
      <c r="A472">
        <v>462</v>
      </c>
      <c r="B472">
        <v>1467925.8216004844</v>
      </c>
      <c r="C472">
        <v>135746.38211465901</v>
      </c>
      <c r="D472">
        <v>55265.751301850134</v>
      </c>
      <c r="E472">
        <v>175101.16398586793</v>
      </c>
      <c r="F472">
        <v>48122.388275944708</v>
      </c>
      <c r="G472">
        <v>10000</v>
      </c>
      <c r="H472">
        <v>404235.68567832175</v>
      </c>
      <c r="I472">
        <v>37.137026998779618</v>
      </c>
    </row>
    <row r="473" spans="1:9" x14ac:dyDescent="0.2">
      <c r="A473">
        <v>463</v>
      </c>
      <c r="B473">
        <v>1228944.278973185</v>
      </c>
      <c r="C473">
        <v>107615.37232360826</v>
      </c>
      <c r="D473">
        <v>118059.66083804569</v>
      </c>
      <c r="E473">
        <v>81427.352050384754</v>
      </c>
      <c r="F473">
        <v>41637.278218872787</v>
      </c>
      <c r="G473">
        <v>10000</v>
      </c>
      <c r="H473">
        <v>338739.66343091149</v>
      </c>
      <c r="I473">
        <v>34.206465997199999</v>
      </c>
    </row>
    <row r="474" spans="1:9" x14ac:dyDescent="0.2">
      <c r="A474">
        <v>464</v>
      </c>
      <c r="B474">
        <v>977475.24600213591</v>
      </c>
      <c r="C474">
        <v>115593.76155841841</v>
      </c>
      <c r="D474">
        <v>53197.705248567989</v>
      </c>
      <c r="E474">
        <v>70171.768555102113</v>
      </c>
      <c r="F474">
        <v>40858.045515353224</v>
      </c>
      <c r="G474">
        <v>10000</v>
      </c>
      <c r="H474">
        <v>269821.28087744175</v>
      </c>
      <c r="I474">
        <v>27.582485246979125</v>
      </c>
    </row>
    <row r="475" spans="1:9" x14ac:dyDescent="0.2">
      <c r="A475">
        <v>465</v>
      </c>
      <c r="B475">
        <v>986447.16647377098</v>
      </c>
      <c r="C475">
        <v>117601.88430307864</v>
      </c>
      <c r="D475">
        <v>42145.248381112877</v>
      </c>
      <c r="E475">
        <v>80930.163080336773</v>
      </c>
      <c r="F475">
        <v>41602.857444023313</v>
      </c>
      <c r="G475">
        <v>10000</v>
      </c>
      <c r="H475">
        <v>272280.15320855158</v>
      </c>
      <c r="I475">
        <v>47.842685964634988</v>
      </c>
    </row>
    <row r="476" spans="1:9" x14ac:dyDescent="0.2">
      <c r="A476">
        <v>466</v>
      </c>
      <c r="B476">
        <v>1720445.8103506458</v>
      </c>
      <c r="C476">
        <v>97529.80876023302</v>
      </c>
      <c r="D476">
        <v>135881.6350935777</v>
      </c>
      <c r="E476">
        <v>200172.55276894814</v>
      </c>
      <c r="F476">
        <v>49858.099807081024</v>
      </c>
      <c r="G476">
        <v>10000</v>
      </c>
      <c r="H476">
        <v>473442.0964298399</v>
      </c>
      <c r="I476">
        <v>36.623340530679421</v>
      </c>
    </row>
    <row r="477" spans="1:9" x14ac:dyDescent="0.2">
      <c r="A477">
        <v>467</v>
      </c>
      <c r="B477">
        <v>892898.60651340301</v>
      </c>
      <c r="C477">
        <v>75571.155688311454</v>
      </c>
      <c r="D477">
        <v>55067.317454101772</v>
      </c>
      <c r="E477">
        <v>84175.908866991638</v>
      </c>
      <c r="F477">
        <v>41827.562921560959</v>
      </c>
      <c r="G477">
        <v>10000</v>
      </c>
      <c r="H477">
        <v>246641.94493096581</v>
      </c>
      <c r="I477">
        <v>28.877427004833738</v>
      </c>
    </row>
    <row r="478" spans="1:9" x14ac:dyDescent="0.2">
      <c r="A478">
        <v>468</v>
      </c>
      <c r="B478">
        <v>1132350.1641396859</v>
      </c>
      <c r="C478">
        <v>150069.34945296322</v>
      </c>
      <c r="D478">
        <v>74171.834506489948</v>
      </c>
      <c r="E478">
        <v>58009.551138229399</v>
      </c>
      <c r="F478">
        <v>40016.045848031274</v>
      </c>
      <c r="G478">
        <v>10000</v>
      </c>
      <c r="H478">
        <v>312266.78094571386</v>
      </c>
      <c r="I478">
        <v>38.8212679329027</v>
      </c>
    </row>
    <row r="479" spans="1:9" x14ac:dyDescent="0.2">
      <c r="A479">
        <v>469</v>
      </c>
      <c r="B479">
        <v>1121590.7648762919</v>
      </c>
      <c r="C479">
        <v>100021.55642106572</v>
      </c>
      <c r="D479">
        <v>106534.91278473454</v>
      </c>
      <c r="E479">
        <v>71791.384647889776</v>
      </c>
      <c r="F479">
        <v>40970.172783315451</v>
      </c>
      <c r="G479">
        <v>10000</v>
      </c>
      <c r="H479">
        <v>309318.0266370055</v>
      </c>
      <c r="I479">
        <v>46.977277580920301</v>
      </c>
    </row>
    <row r="480" spans="1:9" x14ac:dyDescent="0.2">
      <c r="A480">
        <v>470</v>
      </c>
      <c r="B480">
        <v>1611248.1913214247</v>
      </c>
      <c r="C480">
        <v>169996.45774769178</v>
      </c>
      <c r="D480">
        <v>99968.974039727589</v>
      </c>
      <c r="E480">
        <v>137996.05378124418</v>
      </c>
      <c r="F480">
        <v>45553.572954086136</v>
      </c>
      <c r="G480">
        <v>10000</v>
      </c>
      <c r="H480">
        <v>443515.05852274969</v>
      </c>
      <c r="I480">
        <v>35.673247368409733</v>
      </c>
    </row>
    <row r="481" spans="1:9" x14ac:dyDescent="0.2">
      <c r="A481">
        <v>471</v>
      </c>
      <c r="B481">
        <v>1733075.4567576596</v>
      </c>
      <c r="C481">
        <v>90294.134179434986</v>
      </c>
      <c r="D481">
        <v>139203.62114418356</v>
      </c>
      <c r="E481">
        <v>207070.04279613806</v>
      </c>
      <c r="F481">
        <v>50335.618347424948</v>
      </c>
      <c r="G481">
        <v>10000</v>
      </c>
      <c r="H481">
        <v>476903.41646718158</v>
      </c>
      <c r="I481">
        <v>37.39546348623287</v>
      </c>
    </row>
    <row r="482" spans="1:9" x14ac:dyDescent="0.2">
      <c r="A482">
        <v>472</v>
      </c>
      <c r="B482">
        <v>1022109.2241032234</v>
      </c>
      <c r="C482">
        <v>109022.07742856375</v>
      </c>
      <c r="D482">
        <v>77002.782558520805</v>
      </c>
      <c r="E482">
        <v>65494.698878814102</v>
      </c>
      <c r="F482">
        <v>40534.248383917897</v>
      </c>
      <c r="G482">
        <v>10000</v>
      </c>
      <c r="H482">
        <v>282053.80724981654</v>
      </c>
      <c r="I482">
        <v>28.865440614317027</v>
      </c>
    </row>
    <row r="483" spans="1:9" x14ac:dyDescent="0.2">
      <c r="A483">
        <v>473</v>
      </c>
      <c r="B483">
        <v>1646022.2324338288</v>
      </c>
      <c r="C483">
        <v>115976.83792110861</v>
      </c>
      <c r="D483">
        <v>99317.223248982016</v>
      </c>
      <c r="E483">
        <v>198040.76437808943</v>
      </c>
      <c r="F483">
        <v>49710.514456944657</v>
      </c>
      <c r="G483">
        <v>10000</v>
      </c>
      <c r="H483">
        <v>453045.34000512469</v>
      </c>
      <c r="I483">
        <v>26.930736520634778</v>
      </c>
    </row>
    <row r="484" spans="1:9" x14ac:dyDescent="0.2">
      <c r="A484">
        <v>474</v>
      </c>
      <c r="B484">
        <v>1734607.4271678701</v>
      </c>
      <c r="C484">
        <v>157528.09596059116</v>
      </c>
      <c r="D484">
        <v>89022.217012244757</v>
      </c>
      <c r="E484">
        <v>191514.27918625949</v>
      </c>
      <c r="F484">
        <v>49258.680866741044</v>
      </c>
      <c r="G484">
        <v>10000</v>
      </c>
      <c r="H484">
        <v>477323.27302583645</v>
      </c>
      <c r="I484">
        <v>32.191026301898333</v>
      </c>
    </row>
    <row r="485" spans="1:9" x14ac:dyDescent="0.2">
      <c r="A485">
        <v>475</v>
      </c>
      <c r="B485">
        <v>1330662.8554177422</v>
      </c>
      <c r="C485">
        <v>139056.9364086311</v>
      </c>
      <c r="D485">
        <v>135288.45419637056</v>
      </c>
      <c r="E485">
        <v>61980.615456983258</v>
      </c>
      <c r="F485">
        <v>40290.965685483454</v>
      </c>
      <c r="G485">
        <v>10000</v>
      </c>
      <c r="H485">
        <v>366616.9717474684</v>
      </c>
      <c r="I485">
        <v>28.096282872496907</v>
      </c>
    </row>
    <row r="486" spans="1:9" x14ac:dyDescent="0.2">
      <c r="A486">
        <v>476</v>
      </c>
      <c r="B486">
        <v>1486789.2537981619</v>
      </c>
      <c r="C486">
        <v>110730.39140116218</v>
      </c>
      <c r="D486">
        <v>65298.755149841425</v>
      </c>
      <c r="E486">
        <v>193949.06673701436</v>
      </c>
      <c r="F486">
        <v>49427.243081793305</v>
      </c>
      <c r="G486">
        <v>10000</v>
      </c>
      <c r="H486">
        <v>409405.45636981132</v>
      </c>
      <c r="I486">
        <v>35.23598583094121</v>
      </c>
    </row>
    <row r="487" spans="1:9" x14ac:dyDescent="0.2">
      <c r="A487">
        <v>477</v>
      </c>
      <c r="B487">
        <v>1902433.8603693368</v>
      </c>
      <c r="C487">
        <v>167398.2308729116</v>
      </c>
      <c r="D487">
        <v>131615.58622462087</v>
      </c>
      <c r="E487">
        <v>185464.6293973194</v>
      </c>
      <c r="F487">
        <v>48839.85895827596</v>
      </c>
      <c r="G487">
        <v>10000</v>
      </c>
      <c r="H487">
        <v>523318.30545312783</v>
      </c>
      <c r="I487">
        <v>48.532908222085155</v>
      </c>
    </row>
    <row r="488" spans="1:9" x14ac:dyDescent="0.2">
      <c r="A488">
        <v>478</v>
      </c>
      <c r="B488">
        <v>951031.32436912367</v>
      </c>
      <c r="C488">
        <v>134252.03563264961</v>
      </c>
      <c r="D488">
        <v>71374.421022165319</v>
      </c>
      <c r="E488">
        <v>28943.724771930614</v>
      </c>
      <c r="F488">
        <v>38003.796330364428</v>
      </c>
      <c r="G488">
        <v>10000</v>
      </c>
      <c r="H488">
        <v>262573.97775710997</v>
      </c>
      <c r="I488">
        <v>38.666903225485719</v>
      </c>
    </row>
    <row r="489" spans="1:9" x14ac:dyDescent="0.2">
      <c r="A489">
        <v>479</v>
      </c>
      <c r="B489">
        <v>1054690.8914453227</v>
      </c>
      <c r="C489">
        <v>126942.24973372335</v>
      </c>
      <c r="D489">
        <v>106828.85603694366</v>
      </c>
      <c r="E489">
        <v>29191.204657971455</v>
      </c>
      <c r="F489">
        <v>38020.929553244176</v>
      </c>
      <c r="G489">
        <v>10000</v>
      </c>
      <c r="H489">
        <v>290983.23998188262</v>
      </c>
      <c r="I489">
        <v>38.940622182137361</v>
      </c>
    </row>
    <row r="490" spans="1:9" x14ac:dyDescent="0.2">
      <c r="A490">
        <v>480</v>
      </c>
      <c r="B490">
        <v>1213926.4852908654</v>
      </c>
      <c r="C490">
        <v>102013.45581297186</v>
      </c>
      <c r="D490">
        <v>68835.380435237545</v>
      </c>
      <c r="E490">
        <v>128854.32038270764</v>
      </c>
      <c r="F490">
        <v>44920.683718802837</v>
      </c>
      <c r="G490">
        <v>10000</v>
      </c>
      <c r="H490">
        <v>334623.84034971986</v>
      </c>
      <c r="I490">
        <v>51.339993585300824</v>
      </c>
    </row>
    <row r="491" spans="1:9" x14ac:dyDescent="0.2">
      <c r="A491">
        <v>481</v>
      </c>
      <c r="B491">
        <v>910747.97870982508</v>
      </c>
      <c r="C491">
        <v>105941.77154445094</v>
      </c>
      <c r="D491">
        <v>50339.773381329163</v>
      </c>
      <c r="E491">
        <v>64768.295360298238</v>
      </c>
      <c r="F491">
        <v>40483.958909559107</v>
      </c>
      <c r="G491">
        <v>10000</v>
      </c>
      <c r="H491">
        <v>251533.79919563746</v>
      </c>
      <c r="I491">
        <v>40.039838071285999</v>
      </c>
    </row>
    <row r="492" spans="1:9" x14ac:dyDescent="0.2">
      <c r="A492">
        <v>482</v>
      </c>
      <c r="B492">
        <v>1538700.9053686238</v>
      </c>
      <c r="C492">
        <v>134566.31134150902</v>
      </c>
      <c r="D492">
        <v>91115.726936753985</v>
      </c>
      <c r="E492">
        <v>160817.00149194439</v>
      </c>
      <c r="F492">
        <v>47133.484718673069</v>
      </c>
      <c r="G492">
        <v>10000</v>
      </c>
      <c r="H492">
        <v>423632.52448888042</v>
      </c>
      <c r="I492">
        <v>43.388517064919213</v>
      </c>
    </row>
    <row r="493" spans="1:9" x14ac:dyDescent="0.2">
      <c r="A493">
        <v>483</v>
      </c>
      <c r="B493">
        <v>1214068.5575682528</v>
      </c>
      <c r="C493">
        <v>98337.568886314417</v>
      </c>
      <c r="D493">
        <v>112816.19709222847</v>
      </c>
      <c r="E493">
        <v>91195.478044456628</v>
      </c>
      <c r="F493">
        <v>42313.533095385457</v>
      </c>
      <c r="G493">
        <v>10000</v>
      </c>
      <c r="H493">
        <v>334662.77711838501</v>
      </c>
      <c r="I493">
        <v>33.003195227655354</v>
      </c>
    </row>
    <row r="494" spans="1:9" x14ac:dyDescent="0.2">
      <c r="A494">
        <v>484</v>
      </c>
      <c r="B494">
        <v>1037445.7052429825</v>
      </c>
      <c r="C494">
        <v>84455.384658209645</v>
      </c>
      <c r="D494">
        <v>83655.269159779229</v>
      </c>
      <c r="E494">
        <v>86180.008691299503</v>
      </c>
      <c r="F494">
        <v>41966.308294013041</v>
      </c>
      <c r="G494">
        <v>10000</v>
      </c>
      <c r="H494">
        <v>286256.97080330143</v>
      </c>
      <c r="I494">
        <v>31.350028865351383</v>
      </c>
    </row>
    <row r="495" spans="1:9" x14ac:dyDescent="0.2">
      <c r="A495">
        <v>485</v>
      </c>
      <c r="B495">
        <v>1655992.2626260472</v>
      </c>
      <c r="C495">
        <v>109036.7390503444</v>
      </c>
      <c r="D495">
        <v>144325.77132135828</v>
      </c>
      <c r="E495">
        <v>164992.67705783626</v>
      </c>
      <c r="F495">
        <v>47422.569950157893</v>
      </c>
      <c r="G495">
        <v>10000</v>
      </c>
      <c r="H495">
        <v>455777.75737969682</v>
      </c>
      <c r="I495">
        <v>28.308408679597775</v>
      </c>
    </row>
    <row r="496" spans="1:9" x14ac:dyDescent="0.2">
      <c r="A496">
        <v>486</v>
      </c>
      <c r="B496">
        <v>1682836.3848188203</v>
      </c>
      <c r="C496">
        <v>104396.43447584014</v>
      </c>
      <c r="D496">
        <v>139071.83965912432</v>
      </c>
      <c r="E496">
        <v>181126.91118133589</v>
      </c>
      <c r="F496">
        <v>48539.5553894771</v>
      </c>
      <c r="G496">
        <v>10000</v>
      </c>
      <c r="H496">
        <v>463134.74070577748</v>
      </c>
      <c r="I496">
        <v>33.011548718058677</v>
      </c>
    </row>
    <row r="497" spans="1:9" x14ac:dyDescent="0.2">
      <c r="A497">
        <v>487</v>
      </c>
      <c r="B497">
        <v>1299202.9660533373</v>
      </c>
      <c r="C497">
        <v>100166.75815976197</v>
      </c>
      <c r="D497">
        <v>65026.337093888942</v>
      </c>
      <c r="E497">
        <v>156001.75987363671</v>
      </c>
      <c r="F497">
        <v>46800.121837405612</v>
      </c>
      <c r="G497">
        <v>10000</v>
      </c>
      <c r="H497">
        <v>357994.97696469323</v>
      </c>
      <c r="I497">
        <v>40.358986593492673</v>
      </c>
    </row>
    <row r="498" spans="1:9" x14ac:dyDescent="0.2">
      <c r="A498">
        <v>488</v>
      </c>
      <c r="B498">
        <v>1576780.4485862642</v>
      </c>
      <c r="C498">
        <v>119429.13640552862</v>
      </c>
      <c r="D498">
        <v>111405.38072590315</v>
      </c>
      <c r="E498">
        <v>165758.60898487491</v>
      </c>
      <c r="F498">
        <v>47475.596006645181</v>
      </c>
      <c r="G498">
        <v>10000</v>
      </c>
      <c r="H498">
        <v>434068.72212295188</v>
      </c>
      <c r="I498">
        <v>34.993154207220314</v>
      </c>
    </row>
    <row r="499" spans="1:9" x14ac:dyDescent="0.2">
      <c r="A499">
        <v>489</v>
      </c>
      <c r="B499">
        <v>1642672.8723233305</v>
      </c>
      <c r="C499">
        <v>124146.48789296095</v>
      </c>
      <c r="D499">
        <v>99512.495434358876</v>
      </c>
      <c r="E499">
        <v>189358.95457901762</v>
      </c>
      <c r="F499">
        <v>49109.466086239678</v>
      </c>
      <c r="G499">
        <v>10000</v>
      </c>
      <c r="H499">
        <v>452127.40399257711</v>
      </c>
      <c r="I499">
        <v>42.667174660101793</v>
      </c>
    </row>
    <row r="500" spans="1:9" x14ac:dyDescent="0.2">
      <c r="A500">
        <v>490</v>
      </c>
      <c r="B500">
        <v>1067586.9337154981</v>
      </c>
      <c r="C500">
        <v>113064.2904502553</v>
      </c>
      <c r="D500">
        <v>67911.434494874629</v>
      </c>
      <c r="E500">
        <v>81873.667377690901</v>
      </c>
      <c r="F500">
        <v>41668.176972301677</v>
      </c>
      <c r="G500">
        <v>10000</v>
      </c>
      <c r="H500">
        <v>294517.56929512252</v>
      </c>
      <c r="I500">
        <v>26.650445069873271</v>
      </c>
    </row>
    <row r="501" spans="1:9" x14ac:dyDescent="0.2">
      <c r="A501">
        <v>491</v>
      </c>
      <c r="B501">
        <v>1071429.5523313927</v>
      </c>
      <c r="C501">
        <v>123098.58821264471</v>
      </c>
      <c r="D501">
        <v>84235.784860365151</v>
      </c>
      <c r="E501">
        <v>58206.626651960745</v>
      </c>
      <c r="F501">
        <v>40029.689537443439</v>
      </c>
      <c r="G501">
        <v>10000</v>
      </c>
      <c r="H501">
        <v>295570.68926241406</v>
      </c>
      <c r="I501">
        <v>27.199507548280621</v>
      </c>
    </row>
    <row r="502" spans="1:9" x14ac:dyDescent="0.2">
      <c r="A502">
        <v>492</v>
      </c>
      <c r="B502">
        <v>1470989.8930086505</v>
      </c>
      <c r="C502">
        <v>155517.27982480515</v>
      </c>
      <c r="D502">
        <v>53802.886940190183</v>
      </c>
      <c r="E502">
        <v>158763.91954380841</v>
      </c>
      <c r="F502">
        <v>46991.348276109813</v>
      </c>
      <c r="G502">
        <v>10000</v>
      </c>
      <c r="H502">
        <v>405075.43458491354</v>
      </c>
      <c r="I502">
        <v>32.117214611968997</v>
      </c>
    </row>
    <row r="503" spans="1:9" x14ac:dyDescent="0.2">
      <c r="A503">
        <v>493</v>
      </c>
      <c r="B503">
        <v>1383504.7066832457</v>
      </c>
      <c r="C503">
        <v>92714.567234386588</v>
      </c>
      <c r="D503">
        <v>106420.44895119188</v>
      </c>
      <c r="E503">
        <v>145865.57138133259</v>
      </c>
      <c r="F503">
        <v>46098.385711015333</v>
      </c>
      <c r="G503">
        <v>10000</v>
      </c>
      <c r="H503">
        <v>381098.97327792639</v>
      </c>
      <c r="I503">
        <v>35.430311244863788</v>
      </c>
    </row>
    <row r="504" spans="1:9" x14ac:dyDescent="0.2">
      <c r="A504">
        <v>494</v>
      </c>
      <c r="B504">
        <v>907705.77148514031</v>
      </c>
      <c r="C504">
        <v>86432.464708716347</v>
      </c>
      <c r="D504">
        <v>93352.459369361706</v>
      </c>
      <c r="E504">
        <v>42006.945244541668</v>
      </c>
      <c r="F504">
        <v>38908.173132314419</v>
      </c>
      <c r="G504">
        <v>10000</v>
      </c>
      <c r="H504">
        <v>250700.04245493416</v>
      </c>
      <c r="I504">
        <v>36.441599266872551</v>
      </c>
    </row>
    <row r="505" spans="1:9" x14ac:dyDescent="0.2">
      <c r="A505">
        <v>495</v>
      </c>
      <c r="B505">
        <v>1617903.1091950401</v>
      </c>
      <c r="C505">
        <v>118738.50216100457</v>
      </c>
      <c r="D505">
        <v>95233.370183512074</v>
      </c>
      <c r="E505">
        <v>192069.90624109568</v>
      </c>
      <c r="F505">
        <v>49297.147355152782</v>
      </c>
      <c r="G505">
        <v>10000</v>
      </c>
      <c r="H505">
        <v>445338.92594076507</v>
      </c>
      <c r="I505">
        <v>34.404727644782476</v>
      </c>
    </row>
    <row r="506" spans="1:9" x14ac:dyDescent="0.2">
      <c r="A506">
        <v>496</v>
      </c>
      <c r="B506">
        <v>1298671.0078786556</v>
      </c>
      <c r="C506">
        <v>138878.18463121555</v>
      </c>
      <c r="D506">
        <v>66453.036162943215</v>
      </c>
      <c r="E506">
        <v>118326.15531210777</v>
      </c>
      <c r="F506">
        <v>44191.810752376688</v>
      </c>
      <c r="G506">
        <v>10000</v>
      </c>
      <c r="H506">
        <v>357849.1868586432</v>
      </c>
      <c r="I506">
        <v>48.668282270486202</v>
      </c>
    </row>
    <row r="507" spans="1:9" x14ac:dyDescent="0.2">
      <c r="A507">
        <v>497</v>
      </c>
      <c r="B507">
        <v>1020794.4841423515</v>
      </c>
      <c r="C507">
        <v>106295.79116137249</v>
      </c>
      <c r="D507">
        <v>114385.90337069628</v>
      </c>
      <c r="E507">
        <v>32744.840512295505</v>
      </c>
      <c r="F507">
        <v>38266.950497005069</v>
      </c>
      <c r="G507">
        <v>10000</v>
      </c>
      <c r="H507">
        <v>281693.48554136936</v>
      </c>
      <c r="I507">
        <v>25.90725749346084</v>
      </c>
    </row>
    <row r="508" spans="1:9" x14ac:dyDescent="0.2">
      <c r="A508">
        <v>498</v>
      </c>
      <c r="B508">
        <v>1073753.0618557832</v>
      </c>
      <c r="C508">
        <v>89382.845366783658</v>
      </c>
      <c r="D508">
        <v>54777.858445954786</v>
      </c>
      <c r="E508">
        <v>117885.47177879965</v>
      </c>
      <c r="F508">
        <v>44161.301892378433</v>
      </c>
      <c r="G508">
        <v>10000</v>
      </c>
      <c r="H508">
        <v>296207.4774839165</v>
      </c>
      <c r="I508">
        <v>29.881304775163315</v>
      </c>
    </row>
    <row r="509" spans="1:9" x14ac:dyDescent="0.2">
      <c r="A509">
        <v>499</v>
      </c>
      <c r="B509">
        <v>1658432.627033616</v>
      </c>
      <c r="C509">
        <v>98207.663195700443</v>
      </c>
      <c r="D509">
        <v>156618.2440884833</v>
      </c>
      <c r="E509">
        <v>164249.54180360265</v>
      </c>
      <c r="F509">
        <v>47371.1221248648</v>
      </c>
      <c r="G509">
        <v>10000</v>
      </c>
      <c r="H509">
        <v>456446.57121265115</v>
      </c>
      <c r="I509">
        <v>34.640512387808172</v>
      </c>
    </row>
    <row r="510" spans="1:9" x14ac:dyDescent="0.2">
      <c r="A510">
        <v>500</v>
      </c>
      <c r="B510">
        <v>1539064.2742724936</v>
      </c>
      <c r="C510">
        <v>148737.39544038041</v>
      </c>
      <c r="D510">
        <v>109048.85679988319</v>
      </c>
      <c r="E510">
        <v>130884.61563566877</v>
      </c>
      <c r="F510">
        <v>45061.242620930912</v>
      </c>
      <c r="G510">
        <v>10000</v>
      </c>
      <c r="H510">
        <v>423732.11049686326</v>
      </c>
      <c r="I510">
        <v>37.520912263685361</v>
      </c>
    </row>
    <row r="511" spans="1:9" x14ac:dyDescent="0.2">
      <c r="A511">
        <v>501</v>
      </c>
      <c r="B511">
        <v>1203941.9898436286</v>
      </c>
      <c r="C511">
        <v>89433.005613453031</v>
      </c>
      <c r="D511">
        <v>41600.088488808869</v>
      </c>
      <c r="E511">
        <v>163532.85886643335</v>
      </c>
      <c r="F511">
        <v>47321.505613829999</v>
      </c>
      <c r="G511">
        <v>10000</v>
      </c>
      <c r="H511">
        <v>331887.45858252526</v>
      </c>
      <c r="I511">
        <v>39.205237996799958</v>
      </c>
    </row>
    <row r="512" spans="1:9" x14ac:dyDescent="0.2">
      <c r="A512">
        <v>502</v>
      </c>
      <c r="B512">
        <v>870745.08875672473</v>
      </c>
      <c r="C512">
        <v>97710.867378803392</v>
      </c>
      <c r="D512">
        <v>73752.727150179242</v>
      </c>
      <c r="E512">
        <v>40315.79515453989</v>
      </c>
      <c r="F512">
        <v>38791.093510698913</v>
      </c>
      <c r="G512">
        <v>10000</v>
      </c>
      <c r="H512">
        <v>240570.48319422145</v>
      </c>
      <c r="I512">
        <v>36.322147877645435</v>
      </c>
    </row>
    <row r="513" spans="1:9" x14ac:dyDescent="0.2">
      <c r="A513">
        <v>503</v>
      </c>
      <c r="B513">
        <v>1553480.0028109215</v>
      </c>
      <c r="C513">
        <v>103638.41425321768</v>
      </c>
      <c r="D513">
        <v>101414.96639261057</v>
      </c>
      <c r="E513">
        <v>183898.13943941466</v>
      </c>
      <c r="F513">
        <v>48731.40965349794</v>
      </c>
      <c r="G513">
        <v>10000</v>
      </c>
      <c r="H513">
        <v>427682.92973874084</v>
      </c>
      <c r="I513">
        <v>26.155476723981018</v>
      </c>
    </row>
    <row r="514" spans="1:9" x14ac:dyDescent="0.2">
      <c r="A514">
        <v>504</v>
      </c>
      <c r="B514">
        <v>1500890.3639934591</v>
      </c>
      <c r="C514">
        <v>94823.926171821236</v>
      </c>
      <c r="D514">
        <v>97639.885229151623</v>
      </c>
      <c r="E514">
        <v>182192.88533255554</v>
      </c>
      <c r="F514">
        <v>48613.353599946153</v>
      </c>
      <c r="G514">
        <v>10000</v>
      </c>
      <c r="H514">
        <v>413270.05033347453</v>
      </c>
      <c r="I514">
        <v>43.068963347763599</v>
      </c>
    </row>
    <row r="515" spans="1:9" x14ac:dyDescent="0.2">
      <c r="A515">
        <v>505</v>
      </c>
      <c r="B515">
        <v>1613384.4919864268</v>
      </c>
      <c r="C515">
        <v>99041.659563786074</v>
      </c>
      <c r="D515">
        <v>102142.85734742277</v>
      </c>
      <c r="E515">
        <v>202871.10045371964</v>
      </c>
      <c r="F515">
        <v>50044.922339103665</v>
      </c>
      <c r="G515">
        <v>10000</v>
      </c>
      <c r="H515">
        <v>444100.53970403213</v>
      </c>
      <c r="I515">
        <v>37.861923430469972</v>
      </c>
    </row>
    <row r="516" spans="1:9" x14ac:dyDescent="0.2">
      <c r="A516">
        <v>506</v>
      </c>
      <c r="B516">
        <v>714370.04073941964</v>
      </c>
      <c r="C516">
        <v>100390.43318889379</v>
      </c>
      <c r="D516">
        <v>30927.192492776048</v>
      </c>
      <c r="E516">
        <v>37780.644143963982</v>
      </c>
      <c r="F516">
        <v>38615.583056120588</v>
      </c>
      <c r="G516">
        <v>10000</v>
      </c>
      <c r="H516">
        <v>197713.8528817544</v>
      </c>
      <c r="I516">
        <v>38.564207044939707</v>
      </c>
    </row>
    <row r="517" spans="1:9" x14ac:dyDescent="0.2">
      <c r="A517">
        <v>507</v>
      </c>
      <c r="B517">
        <v>1164214.0693169816</v>
      </c>
      <c r="C517">
        <v>98025.083998244081</v>
      </c>
      <c r="D517">
        <v>45820.491850108403</v>
      </c>
      <c r="E517">
        <v>141366.98087609894</v>
      </c>
      <c r="F517">
        <v>45786.944829883774</v>
      </c>
      <c r="G517">
        <v>10000</v>
      </c>
      <c r="H517">
        <v>320999.50155433518</v>
      </c>
      <c r="I517">
        <v>39.241435250796599</v>
      </c>
    </row>
    <row r="518" spans="1:9" x14ac:dyDescent="0.2">
      <c r="A518">
        <v>508</v>
      </c>
      <c r="B518">
        <v>1622504.7233491298</v>
      </c>
      <c r="C518">
        <v>112828.3058741573</v>
      </c>
      <c r="D518">
        <v>118456.49095376953</v>
      </c>
      <c r="E518">
        <v>177057.43904646399</v>
      </c>
      <c r="F518">
        <v>48257.822703216742</v>
      </c>
      <c r="G518">
        <v>10000</v>
      </c>
      <c r="H518">
        <v>446600.05857760756</v>
      </c>
      <c r="I518">
        <v>28.596175134718067</v>
      </c>
    </row>
    <row r="519" spans="1:9" x14ac:dyDescent="0.2">
      <c r="A519">
        <v>509</v>
      </c>
      <c r="B519">
        <v>1224909.7840423731</v>
      </c>
      <c r="C519">
        <v>121746.59524682026</v>
      </c>
      <c r="D519">
        <v>120942.61748821914</v>
      </c>
      <c r="E519">
        <v>64480.69630528221</v>
      </c>
      <c r="F519">
        <v>40464.04820575031</v>
      </c>
      <c r="G519">
        <v>10000</v>
      </c>
      <c r="H519">
        <v>337633.95724607189</v>
      </c>
      <c r="I519">
        <v>37.527302278227211</v>
      </c>
    </row>
    <row r="520" spans="1:9" x14ac:dyDescent="0.2">
      <c r="A520">
        <v>510</v>
      </c>
      <c r="B520">
        <v>1025038.6045532501</v>
      </c>
      <c r="C520">
        <v>145719.40135713434</v>
      </c>
      <c r="D520">
        <v>64247.652118491482</v>
      </c>
      <c r="E520">
        <v>43853.572314497651</v>
      </c>
      <c r="F520">
        <v>39036.016544849837</v>
      </c>
      <c r="G520">
        <v>10000</v>
      </c>
      <c r="H520">
        <v>282856.64233497332</v>
      </c>
      <c r="I520">
        <v>38.429536448735846</v>
      </c>
    </row>
    <row r="521" spans="1:9" x14ac:dyDescent="0.2">
      <c r="A521">
        <v>511</v>
      </c>
      <c r="B521">
        <v>1124342.2665273922</v>
      </c>
      <c r="C521">
        <v>96193.232855996903</v>
      </c>
      <c r="D521">
        <v>55069.110516561661</v>
      </c>
      <c r="E521">
        <v>124210.57470149042</v>
      </c>
      <c r="F521">
        <v>44599.193633180112</v>
      </c>
      <c r="G521">
        <v>10000</v>
      </c>
      <c r="H521">
        <v>310072.11170722911</v>
      </c>
      <c r="I521">
        <v>40.533537091770853</v>
      </c>
    </row>
    <row r="522" spans="1:9" x14ac:dyDescent="0.2">
      <c r="A522">
        <v>512</v>
      </c>
      <c r="B522">
        <v>1503703.3223074339</v>
      </c>
      <c r="C522">
        <v>131022.08972570398</v>
      </c>
      <c r="D522">
        <v>82708.877083793617</v>
      </c>
      <c r="E522">
        <v>163023.75185396441</v>
      </c>
      <c r="F522">
        <v>47286.259743735995</v>
      </c>
      <c r="G522">
        <v>10000</v>
      </c>
      <c r="H522">
        <v>414040.97840719798</v>
      </c>
      <c r="I522">
        <v>34.874068775300699</v>
      </c>
    </row>
    <row r="523" spans="1:9" x14ac:dyDescent="0.2">
      <c r="A523">
        <v>513</v>
      </c>
      <c r="B523">
        <v>1513884.4562576772</v>
      </c>
      <c r="C523">
        <v>130697.43678359142</v>
      </c>
      <c r="D523">
        <v>78920.990382038697</v>
      </c>
      <c r="E523">
        <v>169479.61991096335</v>
      </c>
      <c r="F523">
        <v>47733.204455374391</v>
      </c>
      <c r="G523">
        <v>10000</v>
      </c>
      <c r="H523">
        <v>416831.25153196784</v>
      </c>
      <c r="I523">
        <v>42.797150309790034</v>
      </c>
    </row>
    <row r="524" spans="1:9" x14ac:dyDescent="0.2">
      <c r="A524">
        <v>514</v>
      </c>
      <c r="B524">
        <v>1108838.9317458409</v>
      </c>
      <c r="C524">
        <v>110385.88942492247</v>
      </c>
      <c r="D524">
        <v>89356.231895575838</v>
      </c>
      <c r="E524">
        <v>74895.991315943495</v>
      </c>
      <c r="F524">
        <v>41185.107091103782</v>
      </c>
      <c r="G524">
        <v>10000</v>
      </c>
      <c r="H524">
        <v>305823.21972754557</v>
      </c>
      <c r="I524">
        <v>38.95337813331264</v>
      </c>
    </row>
    <row r="525" spans="1:9" x14ac:dyDescent="0.2">
      <c r="A525">
        <v>515</v>
      </c>
      <c r="B525">
        <v>1235994.0513605354</v>
      </c>
      <c r="C525">
        <v>130691.14351750693</v>
      </c>
      <c r="D525">
        <v>53697.744732754967</v>
      </c>
      <c r="E525">
        <v>121847.27693928948</v>
      </c>
      <c r="F525">
        <v>44435.580711181581</v>
      </c>
      <c r="G525">
        <v>10000</v>
      </c>
      <c r="H525">
        <v>340671.74590073293</v>
      </c>
      <c r="I525">
        <v>43.09463844773137</v>
      </c>
    </row>
    <row r="526" spans="1:9" x14ac:dyDescent="0.2">
      <c r="A526">
        <v>516</v>
      </c>
      <c r="B526">
        <v>843986.62312627526</v>
      </c>
      <c r="C526">
        <v>88743.449228392914</v>
      </c>
      <c r="D526">
        <v>90452.691557566519</v>
      </c>
      <c r="E526">
        <v>26225.240791845394</v>
      </c>
      <c r="F526">
        <v>37815.593593281606</v>
      </c>
      <c r="G526">
        <v>10000</v>
      </c>
      <c r="H526">
        <v>233236.97517108644</v>
      </c>
      <c r="I526">
        <v>30.782904183247403</v>
      </c>
    </row>
    <row r="527" spans="1:9" x14ac:dyDescent="0.2">
      <c r="A527">
        <v>517</v>
      </c>
      <c r="B527">
        <v>1843416.599474451</v>
      </c>
      <c r="C527">
        <v>134358.14615558216</v>
      </c>
      <c r="D527">
        <v>129834.68166620081</v>
      </c>
      <c r="E527">
        <v>202903.83558126062</v>
      </c>
      <c r="F527">
        <v>50047.188617164196</v>
      </c>
      <c r="G527">
        <v>10000</v>
      </c>
      <c r="H527">
        <v>507143.85202020779</v>
      </c>
      <c r="I527">
        <v>33.493537250596837</v>
      </c>
    </row>
    <row r="528" spans="1:9" x14ac:dyDescent="0.2">
      <c r="A528">
        <v>518</v>
      </c>
      <c r="B528">
        <v>1407891.758928579</v>
      </c>
      <c r="C528">
        <v>124076.55433826092</v>
      </c>
      <c r="D528">
        <v>109161.44383553999</v>
      </c>
      <c r="E528">
        <v>120221.5367573993</v>
      </c>
      <c r="F528">
        <v>44323.029467819957</v>
      </c>
      <c r="G528">
        <v>10000</v>
      </c>
      <c r="H528">
        <v>387782.56439902016</v>
      </c>
      <c r="I528">
        <v>38.861095969476928</v>
      </c>
    </row>
    <row r="529" spans="1:9" x14ac:dyDescent="0.2">
      <c r="A529">
        <v>519</v>
      </c>
      <c r="B529">
        <v>1726297.2408811494</v>
      </c>
      <c r="C529">
        <v>120362.95816556181</v>
      </c>
      <c r="D529">
        <v>111426.55266487638</v>
      </c>
      <c r="E529">
        <v>203189.29555517453</v>
      </c>
      <c r="F529">
        <v>50066.951230742852</v>
      </c>
      <c r="G529">
        <v>10000</v>
      </c>
      <c r="H529">
        <v>475045.75761635555</v>
      </c>
      <c r="I529">
        <v>35.035039302560023</v>
      </c>
    </row>
    <row r="530" spans="1:9" x14ac:dyDescent="0.2">
      <c r="A530">
        <v>520</v>
      </c>
      <c r="B530">
        <v>1748304.9117968378</v>
      </c>
      <c r="C530">
        <v>98048.061176893796</v>
      </c>
      <c r="D530">
        <v>140321.4669539757</v>
      </c>
      <c r="E530">
        <v>202676.28487802576</v>
      </c>
      <c r="F530">
        <v>50031.435106940247</v>
      </c>
      <c r="G530">
        <v>10000</v>
      </c>
      <c r="H530">
        <v>481077.24811583548</v>
      </c>
      <c r="I530">
        <v>33.069239703705577</v>
      </c>
    </row>
    <row r="531" spans="1:9" x14ac:dyDescent="0.2">
      <c r="A531">
        <v>521</v>
      </c>
      <c r="B531">
        <v>1364562.6226249081</v>
      </c>
      <c r="C531">
        <v>142774.32828358593</v>
      </c>
      <c r="D531">
        <v>48731.690778242555</v>
      </c>
      <c r="E531">
        <v>148145.40743703832</v>
      </c>
      <c r="F531">
        <v>46256.220514871886</v>
      </c>
      <c r="G531">
        <v>10000</v>
      </c>
      <c r="H531">
        <v>375907.64701373869</v>
      </c>
      <c r="I531">
        <v>45.469761718036722</v>
      </c>
    </row>
    <row r="532" spans="1:9" x14ac:dyDescent="0.2">
      <c r="A532">
        <v>522</v>
      </c>
      <c r="B532">
        <v>1056229.498829789</v>
      </c>
      <c r="C532">
        <v>114961.69483901146</v>
      </c>
      <c r="D532">
        <v>119418.53965786795</v>
      </c>
      <c r="E532">
        <v>29015.888698856401</v>
      </c>
      <c r="F532">
        <v>38008.792294536215</v>
      </c>
      <c r="G532">
        <v>10000</v>
      </c>
      <c r="H532">
        <v>291404.91549027199</v>
      </c>
      <c r="I532">
        <v>35.956493784676923</v>
      </c>
    </row>
    <row r="533" spans="1:9" x14ac:dyDescent="0.2">
      <c r="A533">
        <v>523</v>
      </c>
      <c r="B533">
        <v>998217.25456187211</v>
      </c>
      <c r="C533">
        <v>105734.21718458229</v>
      </c>
      <c r="D533">
        <v>64094.827405261676</v>
      </c>
      <c r="E533">
        <v>74517.922353153379</v>
      </c>
      <c r="F533">
        <v>41158.933085987541</v>
      </c>
      <c r="G533">
        <v>10000</v>
      </c>
      <c r="H533">
        <v>275505.90002898488</v>
      </c>
      <c r="I533">
        <v>33.37174137105329</v>
      </c>
    </row>
    <row r="534" spans="1:9" x14ac:dyDescent="0.2">
      <c r="A534">
        <v>524</v>
      </c>
      <c r="B534">
        <v>840227.0686837614</v>
      </c>
      <c r="C534">
        <v>90840.642188155383</v>
      </c>
      <c r="D534">
        <v>85027.230077809232</v>
      </c>
      <c r="E534">
        <v>28374.36841109056</v>
      </c>
      <c r="F534">
        <v>37964.379351537034</v>
      </c>
      <c r="G534">
        <v>10000</v>
      </c>
      <c r="H534">
        <v>232206.62002859224</v>
      </c>
      <c r="I534">
        <v>26.906925009158336</v>
      </c>
    </row>
    <row r="535" spans="1:9" x14ac:dyDescent="0.2">
      <c r="A535">
        <v>525</v>
      </c>
      <c r="B535">
        <v>1078606.865658941</v>
      </c>
      <c r="C535">
        <v>83626.459755040531</v>
      </c>
      <c r="D535">
        <v>48617.144024579611</v>
      </c>
      <c r="E535">
        <v>130275.07833335634</v>
      </c>
      <c r="F535">
        <v>45019.043884616978</v>
      </c>
      <c r="G535">
        <v>10000</v>
      </c>
      <c r="H535">
        <v>297537.72599759349</v>
      </c>
      <c r="I535">
        <v>33.403129593850103</v>
      </c>
    </row>
    <row r="536" spans="1:9" x14ac:dyDescent="0.2">
      <c r="A536">
        <v>526</v>
      </c>
      <c r="B536">
        <v>793418.21013138583</v>
      </c>
      <c r="C536">
        <v>112137.05622049306</v>
      </c>
      <c r="D536">
        <v>37385.078549681864</v>
      </c>
      <c r="E536">
        <v>41016.313476006035</v>
      </c>
      <c r="F536">
        <v>38839.590932954263</v>
      </c>
      <c r="G536">
        <v>10000</v>
      </c>
      <c r="H536">
        <v>219378.03917913523</v>
      </c>
      <c r="I536">
        <v>33.956595760960525</v>
      </c>
    </row>
    <row r="537" spans="1:9" x14ac:dyDescent="0.2">
      <c r="A537">
        <v>527</v>
      </c>
      <c r="B537">
        <v>1165158.0519546806</v>
      </c>
      <c r="C537">
        <v>95550.098062662582</v>
      </c>
      <c r="D537">
        <v>107887.68605499217</v>
      </c>
      <c r="E537">
        <v>85875.220659904269</v>
      </c>
      <c r="F537">
        <v>41945.207584147218</v>
      </c>
      <c r="G537">
        <v>10000</v>
      </c>
      <c r="H537">
        <v>321258.21236170625</v>
      </c>
      <c r="I537">
        <v>42.540202584741138</v>
      </c>
    </row>
    <row r="538" spans="1:9" x14ac:dyDescent="0.2">
      <c r="A538">
        <v>528</v>
      </c>
      <c r="B538">
        <v>1674476.6111268261</v>
      </c>
      <c r="C538">
        <v>117943.88066332604</v>
      </c>
      <c r="D538">
        <v>108515.29019582676</v>
      </c>
      <c r="E538">
        <v>194891.94508411438</v>
      </c>
      <c r="F538">
        <v>49492.519275054074</v>
      </c>
      <c r="G538">
        <v>10000</v>
      </c>
      <c r="H538">
        <v>460843.63521832123</v>
      </c>
      <c r="I538">
        <v>51.001794216174275</v>
      </c>
    </row>
    <row r="539" spans="1:9" x14ac:dyDescent="0.2">
      <c r="A539">
        <v>529</v>
      </c>
      <c r="B539">
        <v>1431109.3593601179</v>
      </c>
      <c r="C539">
        <v>170772.19327300068</v>
      </c>
      <c r="D539">
        <v>96719.331458262212</v>
      </c>
      <c r="E539">
        <v>94136.953496667673</v>
      </c>
      <c r="F539">
        <v>42517.173703615452</v>
      </c>
      <c r="G539">
        <v>10000</v>
      </c>
      <c r="H539">
        <v>394145.65193154599</v>
      </c>
      <c r="I539">
        <v>41.137326400100818</v>
      </c>
    </row>
    <row r="540" spans="1:9" x14ac:dyDescent="0.2">
      <c r="A540">
        <v>530</v>
      </c>
      <c r="B540">
        <v>1336561.8999293433</v>
      </c>
      <c r="C540">
        <v>111231.72875522482</v>
      </c>
      <c r="D540">
        <v>135559.10119374195</v>
      </c>
      <c r="E540">
        <v>89263.099198791984</v>
      </c>
      <c r="F540">
        <v>42179.753021454831</v>
      </c>
      <c r="G540">
        <v>10000</v>
      </c>
      <c r="H540">
        <v>368233.6821692136</v>
      </c>
      <c r="I540">
        <v>42.60154636282973</v>
      </c>
    </row>
    <row r="541" spans="1:9" x14ac:dyDescent="0.2">
      <c r="A541">
        <v>531</v>
      </c>
      <c r="B541">
        <v>1072405.3503979971</v>
      </c>
      <c r="C541">
        <v>141634.18245351073</v>
      </c>
      <c r="D541">
        <v>53422.558762975867</v>
      </c>
      <c r="E541">
        <v>69939.418543061023</v>
      </c>
      <c r="F541">
        <v>40841.959745288841</v>
      </c>
      <c r="G541">
        <v>10000</v>
      </c>
      <c r="H541">
        <v>295838.11950483645</v>
      </c>
      <c r="I541">
        <v>30.06424191972533</v>
      </c>
    </row>
    <row r="542" spans="1:9" x14ac:dyDescent="0.2">
      <c r="A542">
        <v>532</v>
      </c>
      <c r="B542">
        <v>1209456.1930764331</v>
      </c>
      <c r="C542">
        <v>123961.60055008318</v>
      </c>
      <c r="D542">
        <v>129982.89454345289</v>
      </c>
      <c r="E542">
        <v>49993.139605948585</v>
      </c>
      <c r="F542">
        <v>39461.063511181055</v>
      </c>
      <c r="G542">
        <v>10000</v>
      </c>
      <c r="H542">
        <v>333398.69821066572</v>
      </c>
      <c r="I542">
        <v>36.246649692187191</v>
      </c>
    </row>
    <row r="543" spans="1:9" x14ac:dyDescent="0.2">
      <c r="A543">
        <v>533</v>
      </c>
      <c r="B543">
        <v>1530110.8175687005</v>
      </c>
      <c r="C543">
        <v>117387.50152824182</v>
      </c>
      <c r="D543">
        <v>165647.52174235368</v>
      </c>
      <c r="E543">
        <v>104975.72494415595</v>
      </c>
      <c r="F543">
        <v>43267.550188441564</v>
      </c>
      <c r="G543">
        <v>10000</v>
      </c>
      <c r="H543">
        <v>421278.29840319301</v>
      </c>
      <c r="I543">
        <v>28.037114450737093</v>
      </c>
    </row>
    <row r="544" spans="1:9" x14ac:dyDescent="0.2">
      <c r="A544">
        <v>534</v>
      </c>
      <c r="B544">
        <v>1117680.1911667939</v>
      </c>
      <c r="C544">
        <v>97008.713684204573</v>
      </c>
      <c r="D544">
        <v>149714.95133978847</v>
      </c>
      <c r="E544">
        <v>33222.592058130489</v>
      </c>
      <c r="F544">
        <v>38300.02560402442</v>
      </c>
      <c r="G544">
        <v>10000</v>
      </c>
      <c r="H544">
        <v>308246.28268614796</v>
      </c>
      <c r="I544">
        <v>33.68413270758542</v>
      </c>
    </row>
    <row r="545" spans="1:9" x14ac:dyDescent="0.2">
      <c r="A545">
        <v>535</v>
      </c>
      <c r="B545">
        <v>1604904.50063109</v>
      </c>
      <c r="C545">
        <v>117386.96629018329</v>
      </c>
      <c r="D545">
        <v>122860.41725713432</v>
      </c>
      <c r="E545">
        <v>164163.90969568913</v>
      </c>
      <c r="F545">
        <v>47365.193748163088</v>
      </c>
      <c r="G545">
        <v>10000</v>
      </c>
      <c r="H545">
        <v>441776.48699116986</v>
      </c>
      <c r="I545">
        <v>27.126792478003438</v>
      </c>
    </row>
    <row r="546" spans="1:9" x14ac:dyDescent="0.2">
      <c r="A546">
        <v>536</v>
      </c>
      <c r="B546">
        <v>1272399.9821059026</v>
      </c>
      <c r="C546">
        <v>140757.35412246597</v>
      </c>
      <c r="D546">
        <v>105126.79836144338</v>
      </c>
      <c r="E546">
        <v>73665.216056573176</v>
      </c>
      <c r="F546">
        <v>41099.89957314737</v>
      </c>
      <c r="G546">
        <v>10000</v>
      </c>
      <c r="H546">
        <v>350649.26811362983</v>
      </c>
      <c r="I546">
        <v>28.543862632109295</v>
      </c>
    </row>
    <row r="547" spans="1:9" x14ac:dyDescent="0.2">
      <c r="A547">
        <v>537</v>
      </c>
      <c r="B547">
        <v>1220965.2908625454</v>
      </c>
      <c r="C547">
        <v>134195.31291376898</v>
      </c>
      <c r="D547">
        <v>107392.08561898745</v>
      </c>
      <c r="E547">
        <v>64500.125390993286</v>
      </c>
      <c r="F547">
        <v>40465.393296299539</v>
      </c>
      <c r="G547">
        <v>10000</v>
      </c>
      <c r="H547">
        <v>336552.91722004925</v>
      </c>
      <c r="I547">
        <v>35.502306748711817</v>
      </c>
    </row>
    <row r="548" spans="1:9" x14ac:dyDescent="0.2">
      <c r="A548">
        <v>538</v>
      </c>
      <c r="B548">
        <v>1224703.8537836378</v>
      </c>
      <c r="C548">
        <v>96356.201594010461</v>
      </c>
      <c r="D548">
        <v>133723.89239602975</v>
      </c>
      <c r="E548">
        <v>76220.613656408983</v>
      </c>
      <c r="F548">
        <v>41276.81171467447</v>
      </c>
      <c r="G548">
        <v>10000</v>
      </c>
      <c r="H548">
        <v>337577.51936112368</v>
      </c>
      <c r="I548">
        <v>30.218862302793614</v>
      </c>
    </row>
    <row r="549" spans="1:9" x14ac:dyDescent="0.2">
      <c r="A549">
        <v>539</v>
      </c>
      <c r="B549">
        <v>1505356.9564014233</v>
      </c>
      <c r="C549">
        <v>104806.53912317137</v>
      </c>
      <c r="D549">
        <v>65906.603522247184</v>
      </c>
      <c r="E549">
        <v>203680.10546812054</v>
      </c>
      <c r="F549">
        <v>50100.930378562189</v>
      </c>
      <c r="G549">
        <v>10000</v>
      </c>
      <c r="H549">
        <v>414494.17849210126</v>
      </c>
      <c r="I549">
        <v>36.103347541370198</v>
      </c>
    </row>
    <row r="550" spans="1:9" x14ac:dyDescent="0.2">
      <c r="A550">
        <v>540</v>
      </c>
      <c r="B550">
        <v>769219.7421662081</v>
      </c>
      <c r="C550">
        <v>90286.45870232179</v>
      </c>
      <c r="D550">
        <v>51930.116925189242</v>
      </c>
      <c r="E550">
        <v>41646.347733580827</v>
      </c>
      <c r="F550">
        <v>38883.208689247906</v>
      </c>
      <c r="G550">
        <v>10000</v>
      </c>
      <c r="H550">
        <v>212746.13205033974</v>
      </c>
      <c r="I550">
        <v>40.089902607088376</v>
      </c>
    </row>
    <row r="551" spans="1:9" x14ac:dyDescent="0.2">
      <c r="A551">
        <v>541</v>
      </c>
      <c r="B551">
        <v>1076357.6953659649</v>
      </c>
      <c r="C551">
        <v>105124.23248332174</v>
      </c>
      <c r="D551">
        <v>122421.54322886645</v>
      </c>
      <c r="E551">
        <v>40567.047780778965</v>
      </c>
      <c r="F551">
        <v>38808.487923284702</v>
      </c>
      <c r="G551">
        <v>10000</v>
      </c>
      <c r="H551">
        <v>296921.31141625188</v>
      </c>
      <c r="I551">
        <v>34.076514345776985</v>
      </c>
    </row>
    <row r="552" spans="1:9" x14ac:dyDescent="0.2">
      <c r="A552">
        <v>542</v>
      </c>
      <c r="B552">
        <v>1153540.5297699277</v>
      </c>
      <c r="C552">
        <v>88759.054691070967</v>
      </c>
      <c r="D552">
        <v>62457.239298714303</v>
      </c>
      <c r="E552">
        <v>131737.68309823633</v>
      </c>
      <c r="F552">
        <v>45120.301137570212</v>
      </c>
      <c r="G552">
        <v>10000</v>
      </c>
      <c r="H552">
        <v>318074.27822559181</v>
      </c>
      <c r="I552">
        <v>38.247803390984842</v>
      </c>
    </row>
    <row r="553" spans="1:9" x14ac:dyDescent="0.2">
      <c r="A553">
        <v>543</v>
      </c>
      <c r="B553">
        <v>1086661.6751518724</v>
      </c>
      <c r="C553">
        <v>127288.72486655036</v>
      </c>
      <c r="D553">
        <v>66826.771228809535</v>
      </c>
      <c r="E553">
        <v>74473.872476946592</v>
      </c>
      <c r="F553">
        <v>41155.883479173222</v>
      </c>
      <c r="G553">
        <v>10000</v>
      </c>
      <c r="H553">
        <v>299745.25205147971</v>
      </c>
      <c r="I553">
        <v>35.235126299519052</v>
      </c>
    </row>
    <row r="554" spans="1:9" x14ac:dyDescent="0.2">
      <c r="A554">
        <v>544</v>
      </c>
      <c r="B554">
        <v>1396040.9842617328</v>
      </c>
      <c r="C554">
        <v>112944.66801729576</v>
      </c>
      <c r="D554">
        <v>98113.822591966411</v>
      </c>
      <c r="E554">
        <v>137927.3941598034</v>
      </c>
      <c r="F554">
        <v>45548.819595678695</v>
      </c>
      <c r="G554">
        <v>10000</v>
      </c>
      <c r="H554">
        <v>384534.70436474425</v>
      </c>
      <c r="I554">
        <v>47.399888658301762</v>
      </c>
    </row>
    <row r="555" spans="1:9" x14ac:dyDescent="0.2">
      <c r="A555">
        <v>545</v>
      </c>
      <c r="B555">
        <v>1298732.2312521697</v>
      </c>
      <c r="C555">
        <v>147392.48698978574</v>
      </c>
      <c r="D555">
        <v>73625.744328318789</v>
      </c>
      <c r="E555">
        <v>103670.54315859235</v>
      </c>
      <c r="F555">
        <v>43177.191449441001</v>
      </c>
      <c r="G555">
        <v>10000</v>
      </c>
      <c r="H555">
        <v>357865.96592613793</v>
      </c>
      <c r="I555">
        <v>57.507642491807097</v>
      </c>
    </row>
    <row r="556" spans="1:9" x14ac:dyDescent="0.2">
      <c r="A556">
        <v>546</v>
      </c>
      <c r="B556">
        <v>1587414.0357724507</v>
      </c>
      <c r="C556">
        <v>132976.99815851892</v>
      </c>
      <c r="D556">
        <v>136076.79883424763</v>
      </c>
      <c r="E556">
        <v>132739.53862475586</v>
      </c>
      <c r="F556">
        <v>45189.660366329248</v>
      </c>
      <c r="G556">
        <v>10000</v>
      </c>
      <c r="H556">
        <v>436982.99598385167</v>
      </c>
      <c r="I556">
        <v>29.065409155825762</v>
      </c>
    </row>
    <row r="557" spans="1:9" x14ac:dyDescent="0.2">
      <c r="A557">
        <v>547</v>
      </c>
      <c r="B557">
        <v>1226746.7002480188</v>
      </c>
      <c r="C557">
        <v>107428.08405794222</v>
      </c>
      <c r="D557">
        <v>147197.15733580219</v>
      </c>
      <c r="E557">
        <v>53788.338734558522</v>
      </c>
      <c r="F557">
        <v>39723.808066238671</v>
      </c>
      <c r="G557">
        <v>10000</v>
      </c>
      <c r="H557">
        <v>338137.38819454156</v>
      </c>
      <c r="I557">
        <v>29.639568510844494</v>
      </c>
    </row>
    <row r="558" spans="1:9" x14ac:dyDescent="0.2">
      <c r="A558">
        <v>548</v>
      </c>
      <c r="B558">
        <v>1210521.7850864953</v>
      </c>
      <c r="C558">
        <v>83546.304212999894</v>
      </c>
      <c r="D558">
        <v>64927.957314824191</v>
      </c>
      <c r="E558">
        <v>148907.49566274686</v>
      </c>
      <c r="F558">
        <v>46308.980468959395</v>
      </c>
      <c r="G558">
        <v>10000</v>
      </c>
      <c r="H558">
        <v>333690.73765953031</v>
      </c>
      <c r="I558">
        <v>39.804422882240686</v>
      </c>
    </row>
    <row r="559" spans="1:9" x14ac:dyDescent="0.2">
      <c r="A559">
        <v>549</v>
      </c>
      <c r="B559">
        <v>1144410.7003443076</v>
      </c>
      <c r="C559">
        <v>84401.685306816769</v>
      </c>
      <c r="D559">
        <v>83393.862319047359</v>
      </c>
      <c r="E559">
        <v>113891.76663788948</v>
      </c>
      <c r="F559">
        <v>43884.814613392351</v>
      </c>
      <c r="G559">
        <v>10000</v>
      </c>
      <c r="H559">
        <v>315572.12887714594</v>
      </c>
      <c r="I559">
        <v>33.550228565936827</v>
      </c>
    </row>
    <row r="560" spans="1:9" x14ac:dyDescent="0.2">
      <c r="A560">
        <v>550</v>
      </c>
      <c r="B560">
        <v>1753437.1399306338</v>
      </c>
      <c r="C560">
        <v>138011.63192576467</v>
      </c>
      <c r="D560">
        <v>99136.564561583116</v>
      </c>
      <c r="E560">
        <v>205134.0199786195</v>
      </c>
      <c r="F560">
        <v>50201.585998519811</v>
      </c>
      <c r="G560">
        <v>10000</v>
      </c>
      <c r="H560">
        <v>482483.80246448703</v>
      </c>
      <c r="I560">
        <v>32.315454877091298</v>
      </c>
    </row>
    <row r="561" spans="1:9" x14ac:dyDescent="0.2">
      <c r="A561">
        <v>551</v>
      </c>
      <c r="B561">
        <v>935357.59655170282</v>
      </c>
      <c r="C561">
        <v>95854.809991342234</v>
      </c>
      <c r="D561">
        <v>72911.205110475086</v>
      </c>
      <c r="E561">
        <v>59400.060360956777</v>
      </c>
      <c r="F561">
        <v>40112.31187114316</v>
      </c>
      <c r="G561">
        <v>10000</v>
      </c>
      <c r="H561">
        <v>258278.38733391726</v>
      </c>
      <c r="I561">
        <v>50.966217901485635</v>
      </c>
    </row>
    <row r="562" spans="1:9" x14ac:dyDescent="0.2">
      <c r="A562">
        <v>552</v>
      </c>
      <c r="B562">
        <v>886077.73131485295</v>
      </c>
      <c r="C562">
        <v>71595.545491813653</v>
      </c>
      <c r="D562">
        <v>48572.179167880837</v>
      </c>
      <c r="E562">
        <v>92220.382084002194</v>
      </c>
      <c r="F562">
        <v>42384.48799043092</v>
      </c>
      <c r="G562">
        <v>10000</v>
      </c>
      <c r="H562">
        <v>244772.59473412758</v>
      </c>
      <c r="I562">
        <v>36.824142137688526</v>
      </c>
    </row>
    <row r="563" spans="1:9" x14ac:dyDescent="0.2">
      <c r="A563">
        <v>553</v>
      </c>
      <c r="B563">
        <v>942588.15373214334</v>
      </c>
      <c r="C563">
        <v>95673.249654064406</v>
      </c>
      <c r="D563">
        <v>69996.724399670944</v>
      </c>
      <c r="E563">
        <v>64148.960322240688</v>
      </c>
      <c r="F563">
        <v>40441.081868462818</v>
      </c>
      <c r="G563">
        <v>10000</v>
      </c>
      <c r="H563">
        <v>260260.01624443883</v>
      </c>
      <c r="I563">
        <v>40.874226183360982</v>
      </c>
    </row>
    <row r="564" spans="1:9" x14ac:dyDescent="0.2">
      <c r="A564">
        <v>554</v>
      </c>
      <c r="B564">
        <v>1001554.8475146298</v>
      </c>
      <c r="C564">
        <v>104814.35304721248</v>
      </c>
      <c r="D564">
        <v>66818.776310132802</v>
      </c>
      <c r="E564">
        <v>73686.134001875529</v>
      </c>
      <c r="F564">
        <v>41101.347738591379</v>
      </c>
      <c r="G564">
        <v>10000</v>
      </c>
      <c r="H564">
        <v>276420.61109781219</v>
      </c>
      <c r="I564">
        <v>36.345504101760554</v>
      </c>
    </row>
    <row r="565" spans="1:9" x14ac:dyDescent="0.2">
      <c r="A565">
        <v>555</v>
      </c>
      <c r="B565">
        <v>1726480.6755426205</v>
      </c>
      <c r="C565">
        <v>114682.96268735632</v>
      </c>
      <c r="D565">
        <v>150932.93682683914</v>
      </c>
      <c r="E565">
        <v>171600.12230662003</v>
      </c>
      <c r="F565">
        <v>47880.008467381391</v>
      </c>
      <c r="G565">
        <v>10000</v>
      </c>
      <c r="H565">
        <v>475096.03028819693</v>
      </c>
      <c r="I565">
        <v>40.357190550988093</v>
      </c>
    </row>
    <row r="566" spans="1:9" x14ac:dyDescent="0.2">
      <c r="A566">
        <v>556</v>
      </c>
      <c r="B566">
        <v>1533299.4486168835</v>
      </c>
      <c r="C566">
        <v>115686.63357370421</v>
      </c>
      <c r="D566">
        <v>61994.376504225336</v>
      </c>
      <c r="E566">
        <v>204325.55882208596</v>
      </c>
      <c r="F566">
        <v>50145.6156107598</v>
      </c>
      <c r="G566">
        <v>10000</v>
      </c>
      <c r="H566">
        <v>422152.18451077532</v>
      </c>
      <c r="I566">
        <v>34.727976933356587</v>
      </c>
    </row>
    <row r="567" spans="1:9" x14ac:dyDescent="0.2">
      <c r="A567">
        <v>557</v>
      </c>
      <c r="B567">
        <v>1470207.0149940185</v>
      </c>
      <c r="C567">
        <v>130452.41884871609</v>
      </c>
      <c r="D567">
        <v>141504.947904295</v>
      </c>
      <c r="E567">
        <v>99981.699866109615</v>
      </c>
      <c r="F567">
        <v>42921.809990730668</v>
      </c>
      <c r="G567">
        <v>10000</v>
      </c>
      <c r="H567">
        <v>404860.87660985132</v>
      </c>
      <c r="I567">
        <v>30.854240911517593</v>
      </c>
    </row>
    <row r="568" spans="1:9" x14ac:dyDescent="0.2">
      <c r="A568">
        <v>558</v>
      </c>
      <c r="B568">
        <v>1710270.5982194373</v>
      </c>
      <c r="C568">
        <v>104634.19442739073</v>
      </c>
      <c r="D568">
        <v>124879.40659741379</v>
      </c>
      <c r="E568">
        <v>201209.92719571711</v>
      </c>
      <c r="F568">
        <v>49929.918036626572</v>
      </c>
      <c r="G568">
        <v>10000</v>
      </c>
      <c r="H568">
        <v>470653.44625714823</v>
      </c>
      <c r="I568">
        <v>29.633558047063708</v>
      </c>
    </row>
    <row r="569" spans="1:9" x14ac:dyDescent="0.2">
      <c r="A569">
        <v>559</v>
      </c>
      <c r="B569">
        <v>938793.96803190152</v>
      </c>
      <c r="C569">
        <v>73596.707814393085</v>
      </c>
      <c r="D569">
        <v>118633.63755389216</v>
      </c>
      <c r="E569">
        <v>38335.807164736689</v>
      </c>
      <c r="F569">
        <v>38654.017419097159</v>
      </c>
      <c r="G569">
        <v>10000</v>
      </c>
      <c r="H569">
        <v>259220.16995211912</v>
      </c>
      <c r="I569">
        <v>44.866870227812875</v>
      </c>
    </row>
    <row r="570" spans="1:9" x14ac:dyDescent="0.2">
      <c r="A570">
        <v>560</v>
      </c>
      <c r="B570">
        <v>1200276.2154452188</v>
      </c>
      <c r="C570">
        <v>117475.2804214447</v>
      </c>
      <c r="D570">
        <v>104916.36493811819</v>
      </c>
      <c r="E570">
        <v>77150.005502884844</v>
      </c>
      <c r="F570">
        <v>41341.154227122795</v>
      </c>
      <c r="G570">
        <v>10000</v>
      </c>
      <c r="H570">
        <v>330882.80508957052</v>
      </c>
      <c r="I570">
        <v>40.182961779207119</v>
      </c>
    </row>
    <row r="571" spans="1:9" x14ac:dyDescent="0.2">
      <c r="A571">
        <v>561</v>
      </c>
      <c r="B571">
        <v>1246760.5814805559</v>
      </c>
      <c r="C571">
        <v>116643.70627554959</v>
      </c>
      <c r="D571">
        <v>88502.082679569983</v>
      </c>
      <c r="E571">
        <v>105194.00376020593</v>
      </c>
      <c r="F571">
        <v>43282.661798783483</v>
      </c>
      <c r="G571">
        <v>10000</v>
      </c>
      <c r="H571">
        <v>343622.45451410895</v>
      </c>
      <c r="I571">
        <v>36.468819696251146</v>
      </c>
    </row>
    <row r="572" spans="1:9" x14ac:dyDescent="0.2">
      <c r="A572">
        <v>562</v>
      </c>
      <c r="B572">
        <v>1480430.5633922834</v>
      </c>
      <c r="C572">
        <v>92611.265274961159</v>
      </c>
      <c r="D572">
        <v>98917.714786667319</v>
      </c>
      <c r="E572">
        <v>177822.97271978011</v>
      </c>
      <c r="F572">
        <v>48310.821188292466</v>
      </c>
      <c r="G572">
        <v>10000</v>
      </c>
      <c r="H572">
        <v>407662.77396970103</v>
      </c>
      <c r="I572">
        <v>34.797139470000289</v>
      </c>
    </row>
    <row r="573" spans="1:9" x14ac:dyDescent="0.2">
      <c r="A573">
        <v>563</v>
      </c>
      <c r="B573">
        <v>1517489.9280535576</v>
      </c>
      <c r="C573">
        <v>98126.358376115371</v>
      </c>
      <c r="D573">
        <v>170547.2935444683</v>
      </c>
      <c r="E573">
        <v>115172.26208780738</v>
      </c>
      <c r="F573">
        <v>43973.464298386665</v>
      </c>
      <c r="G573">
        <v>10000</v>
      </c>
      <c r="H573">
        <v>417819.37830677774</v>
      </c>
      <c r="I573">
        <v>36.927252468938498</v>
      </c>
    </row>
    <row r="574" spans="1:9" x14ac:dyDescent="0.2">
      <c r="A574">
        <v>564</v>
      </c>
      <c r="B574">
        <v>1009983.5864647268</v>
      </c>
      <c r="C574">
        <v>135240.66408245757</v>
      </c>
      <c r="D574">
        <v>59340.386548493043</v>
      </c>
      <c r="E574">
        <v>54384.486922810509</v>
      </c>
      <c r="F574">
        <v>39765.07986388688</v>
      </c>
      <c r="G574">
        <v>10000</v>
      </c>
      <c r="H574">
        <v>278730.61741764797</v>
      </c>
      <c r="I574">
        <v>44.45667412788287</v>
      </c>
    </row>
    <row r="575" spans="1:9" x14ac:dyDescent="0.2">
      <c r="A575">
        <v>565</v>
      </c>
      <c r="B575">
        <v>1316864.1716583201</v>
      </c>
      <c r="C575">
        <v>97972.424032362818</v>
      </c>
      <c r="D575">
        <v>67335.568960187942</v>
      </c>
      <c r="E575">
        <v>160421.18657039857</v>
      </c>
      <c r="F575">
        <v>47106.082147181442</v>
      </c>
      <c r="G575">
        <v>10000</v>
      </c>
      <c r="H575">
        <v>362835.26171013078</v>
      </c>
      <c r="I575">
        <v>35.558271647730251</v>
      </c>
    </row>
    <row r="576" spans="1:9" x14ac:dyDescent="0.2">
      <c r="A576">
        <v>566</v>
      </c>
      <c r="B576">
        <v>1436563.3749832623</v>
      </c>
      <c r="C576">
        <v>109876.49072495067</v>
      </c>
      <c r="D576">
        <v>72061.595593969672</v>
      </c>
      <c r="E576">
        <v>175548.92305705047</v>
      </c>
      <c r="F576">
        <v>48153.386980872725</v>
      </c>
      <c r="G576">
        <v>10000</v>
      </c>
      <c r="H576">
        <v>395640.39635684353</v>
      </c>
      <c r="I576">
        <v>38.202043088023629</v>
      </c>
    </row>
    <row r="577" spans="1:9" x14ac:dyDescent="0.2">
      <c r="A577">
        <v>567</v>
      </c>
      <c r="B577">
        <v>1221550.3825800798</v>
      </c>
      <c r="C577">
        <v>127469.62895350988</v>
      </c>
      <c r="D577">
        <v>90036.14413907312</v>
      </c>
      <c r="E577">
        <v>87172.478438871447</v>
      </c>
      <c r="F577">
        <v>42035.017738075716</v>
      </c>
      <c r="G577">
        <v>10000</v>
      </c>
      <c r="H577">
        <v>336713.26926953014</v>
      </c>
      <c r="I577">
        <v>40.586037200938016</v>
      </c>
    </row>
    <row r="578" spans="1:9" x14ac:dyDescent="0.2">
      <c r="A578">
        <v>568</v>
      </c>
      <c r="B578">
        <v>1403812.7459372433</v>
      </c>
      <c r="C578">
        <v>135625.45449040105</v>
      </c>
      <c r="D578">
        <v>83999.805149502456</v>
      </c>
      <c r="E578">
        <v>131907.35047598972</v>
      </c>
      <c r="F578">
        <v>45132.04734064544</v>
      </c>
      <c r="G578">
        <v>10000</v>
      </c>
      <c r="H578">
        <v>386664.65745653864</v>
      </c>
      <c r="I578">
        <v>40.448123381841526</v>
      </c>
    </row>
    <row r="579" spans="1:9" x14ac:dyDescent="0.2">
      <c r="A579">
        <v>569</v>
      </c>
      <c r="B579">
        <v>1564092.8118018489</v>
      </c>
      <c r="C579">
        <v>137644.78867778485</v>
      </c>
      <c r="D579">
        <v>86565.625867752809</v>
      </c>
      <c r="E579">
        <v>168701.74307393251</v>
      </c>
      <c r="F579">
        <v>47679.351443579944</v>
      </c>
      <c r="G579">
        <v>10000</v>
      </c>
      <c r="H579">
        <v>430591.50906305009</v>
      </c>
      <c r="I579">
        <v>55.862201412521088</v>
      </c>
    </row>
    <row r="580" spans="1:9" x14ac:dyDescent="0.2">
      <c r="A580">
        <v>570</v>
      </c>
      <c r="B580">
        <v>956432.96061955404</v>
      </c>
      <c r="C580">
        <v>113304.40429394727</v>
      </c>
      <c r="D580">
        <v>69555.708848647002</v>
      </c>
      <c r="E580">
        <v>51620.525124147069</v>
      </c>
      <c r="F580">
        <v>39573.728662440946</v>
      </c>
      <c r="G580">
        <v>10000</v>
      </c>
      <c r="H580">
        <v>264054.36692918232</v>
      </c>
      <c r="I580">
        <v>35.857935189255272</v>
      </c>
    </row>
    <row r="581" spans="1:9" x14ac:dyDescent="0.2">
      <c r="A581">
        <v>571</v>
      </c>
      <c r="B581">
        <v>1247511.058419087</v>
      </c>
      <c r="C581">
        <v>105048.92565466407</v>
      </c>
      <c r="D581">
        <v>64381.831399122151</v>
      </c>
      <c r="E581">
        <v>138788.91233443349</v>
      </c>
      <c r="F581">
        <v>45608.463161614622</v>
      </c>
      <c r="G581">
        <v>10000</v>
      </c>
      <c r="H581">
        <v>343828.13254983432</v>
      </c>
      <c r="I581">
        <v>29.935417425918633</v>
      </c>
    </row>
    <row r="582" spans="1:9" x14ac:dyDescent="0.2">
      <c r="A582">
        <v>572</v>
      </c>
      <c r="B582">
        <v>1519517.2878030334</v>
      </c>
      <c r="C582">
        <v>87972.005887654741</v>
      </c>
      <c r="D582">
        <v>144625.29955086767</v>
      </c>
      <c r="E582">
        <v>149432.37883019049</v>
      </c>
      <c r="F582">
        <v>46345.318534397804</v>
      </c>
      <c r="G582">
        <v>10000</v>
      </c>
      <c r="H582">
        <v>418375.00280311069</v>
      </c>
      <c r="I582">
        <v>32.383709030131641</v>
      </c>
    </row>
    <row r="583" spans="1:9" x14ac:dyDescent="0.2">
      <c r="A583">
        <v>573</v>
      </c>
      <c r="B583">
        <v>773349.68099674513</v>
      </c>
      <c r="C583">
        <v>81023.563625079711</v>
      </c>
      <c r="D583">
        <v>71908.372957727959</v>
      </c>
      <c r="E583">
        <v>32683.364816072844</v>
      </c>
      <c r="F583">
        <v>38262.694487266584</v>
      </c>
      <c r="G583">
        <v>10000</v>
      </c>
      <c r="H583">
        <v>213877.99588614711</v>
      </c>
      <c r="I583">
        <v>35.034045656535611</v>
      </c>
    </row>
    <row r="584" spans="1:9" x14ac:dyDescent="0.2">
      <c r="A584">
        <v>574</v>
      </c>
      <c r="B584">
        <v>979838.94958102016</v>
      </c>
      <c r="C584">
        <v>99577.158853486631</v>
      </c>
      <c r="D584">
        <v>59265.81136967981</v>
      </c>
      <c r="E584">
        <v>80081.977667484418</v>
      </c>
      <c r="F584">
        <v>41544.136915441231</v>
      </c>
      <c r="G584">
        <v>10000</v>
      </c>
      <c r="H584">
        <v>270469.08480609214</v>
      </c>
      <c r="I584">
        <v>28.104561771662965</v>
      </c>
    </row>
    <row r="585" spans="1:9" x14ac:dyDescent="0.2">
      <c r="A585">
        <v>575</v>
      </c>
      <c r="B585">
        <v>967488.91455663019</v>
      </c>
      <c r="C585">
        <v>95426.087021594358</v>
      </c>
      <c r="D585">
        <v>114199.88142033054</v>
      </c>
      <c r="E585">
        <v>29421.55088894262</v>
      </c>
      <c r="F585">
        <v>38036.876600003721</v>
      </c>
      <c r="G585">
        <v>10000</v>
      </c>
      <c r="H585">
        <v>267084.39593087125</v>
      </c>
      <c r="I585">
        <v>45.952491730857204</v>
      </c>
    </row>
    <row r="586" spans="1:9" x14ac:dyDescent="0.2">
      <c r="A586">
        <v>576</v>
      </c>
      <c r="B586">
        <v>1571472.7230717165</v>
      </c>
      <c r="C586">
        <v>130959.42762134518</v>
      </c>
      <c r="D586">
        <v>89848.834126090296</v>
      </c>
      <c r="E586">
        <v>173775.21674245363</v>
      </c>
      <c r="F586">
        <v>48030.591928323709</v>
      </c>
      <c r="G586">
        <v>10000</v>
      </c>
      <c r="H586">
        <v>432614.07041821285</v>
      </c>
      <c r="I586">
        <v>43.645004950338532</v>
      </c>
    </row>
    <row r="587" spans="1:9" x14ac:dyDescent="0.2">
      <c r="A587">
        <v>577</v>
      </c>
      <c r="B587">
        <v>1299018.076057282</v>
      </c>
      <c r="C587">
        <v>82012.945353337433</v>
      </c>
      <c r="D587">
        <v>60270.720171613058</v>
      </c>
      <c r="E587">
        <v>177380.45459619656</v>
      </c>
      <c r="F587">
        <v>48280.185318198222</v>
      </c>
      <c r="G587">
        <v>10000</v>
      </c>
      <c r="H587">
        <v>357944.30543934525</v>
      </c>
      <c r="I587">
        <v>27.410742619001908</v>
      </c>
    </row>
    <row r="588" spans="1:9" x14ac:dyDescent="0.2">
      <c r="A588">
        <v>578</v>
      </c>
      <c r="B588">
        <v>1080635.3826923703</v>
      </c>
      <c r="C588">
        <v>93033.792847665522</v>
      </c>
      <c r="D588">
        <v>102179.87874508898</v>
      </c>
      <c r="E588">
        <v>71902.154597840825</v>
      </c>
      <c r="F588">
        <v>40977.841472158208</v>
      </c>
      <c r="G588">
        <v>10000</v>
      </c>
      <c r="H588">
        <v>298093.66766275349</v>
      </c>
      <c r="I588">
        <v>44.325909313187701</v>
      </c>
    </row>
    <row r="589" spans="1:9" x14ac:dyDescent="0.2">
      <c r="A589">
        <v>579</v>
      </c>
      <c r="B589">
        <v>1493834.6788141304</v>
      </c>
      <c r="C589">
        <v>109308.5150953569</v>
      </c>
      <c r="D589">
        <v>104874.76580172447</v>
      </c>
      <c r="E589">
        <v>160071.21326260405</v>
      </c>
      <c r="F589">
        <v>47081.85322587259</v>
      </c>
      <c r="G589">
        <v>10000</v>
      </c>
      <c r="H589">
        <v>411336.34738555807</v>
      </c>
      <c r="I589">
        <v>32.86933544210541</v>
      </c>
    </row>
    <row r="590" spans="1:9" x14ac:dyDescent="0.2">
      <c r="A590">
        <v>580</v>
      </c>
      <c r="B590">
        <v>1525235.2301763862</v>
      </c>
      <c r="C590">
        <v>133961.24948340733</v>
      </c>
      <c r="D590">
        <v>143811.00602924565</v>
      </c>
      <c r="E590">
        <v>108648.03711408385</v>
      </c>
      <c r="F590">
        <v>43521.787184821187</v>
      </c>
      <c r="G590">
        <v>10000</v>
      </c>
      <c r="H590">
        <v>419942.07981155801</v>
      </c>
      <c r="I590">
        <v>31.766716110060475</v>
      </c>
    </row>
    <row r="591" spans="1:9" x14ac:dyDescent="0.2">
      <c r="A591">
        <v>581</v>
      </c>
      <c r="B591">
        <v>1085846.8663236958</v>
      </c>
      <c r="C591">
        <v>150376.52025338434</v>
      </c>
      <c r="D591">
        <v>43096.154295651533</v>
      </c>
      <c r="E591">
        <v>74866.222309752542</v>
      </c>
      <c r="F591">
        <v>41183.046159905942</v>
      </c>
      <c r="G591">
        <v>10000</v>
      </c>
      <c r="H591">
        <v>299521.94301869441</v>
      </c>
      <c r="I591">
        <v>28.501436186856552</v>
      </c>
    </row>
    <row r="592" spans="1:9" x14ac:dyDescent="0.2">
      <c r="A592">
        <v>582</v>
      </c>
      <c r="B592">
        <v>1386828.9043994192</v>
      </c>
      <c r="C592">
        <v>99071.625707513609</v>
      </c>
      <c r="D592">
        <v>77641.660567780724</v>
      </c>
      <c r="E592">
        <v>167687.58633872442</v>
      </c>
      <c r="F592">
        <v>47609.140592680924</v>
      </c>
      <c r="G592">
        <v>10000</v>
      </c>
      <c r="H592">
        <v>382010.01320669963</v>
      </c>
      <c r="I592">
        <v>31.598502672716531</v>
      </c>
    </row>
    <row r="593" spans="1:9" x14ac:dyDescent="0.2">
      <c r="A593">
        <v>583</v>
      </c>
      <c r="B593">
        <v>1204837.1414618408</v>
      </c>
      <c r="C593">
        <v>83740.215712614227</v>
      </c>
      <c r="D593">
        <v>137292.05219007758</v>
      </c>
      <c r="E593">
        <v>79590.413178892661</v>
      </c>
      <c r="F593">
        <v>41510.10552776949</v>
      </c>
      <c r="G593">
        <v>10000</v>
      </c>
      <c r="H593">
        <v>332132.78660935391</v>
      </c>
      <c r="I593">
        <v>49.138487273211418</v>
      </c>
    </row>
    <row r="594" spans="1:9" x14ac:dyDescent="0.2">
      <c r="A594">
        <v>584</v>
      </c>
      <c r="B594">
        <v>1225379.3731771447</v>
      </c>
      <c r="C594">
        <v>91942.840955668798</v>
      </c>
      <c r="D594">
        <v>74672.560449101031</v>
      </c>
      <c r="E594">
        <v>135749.22932623481</v>
      </c>
      <c r="F594">
        <v>45398.023568739329</v>
      </c>
      <c r="G594">
        <v>10000</v>
      </c>
      <c r="H594">
        <v>337762.65429974394</v>
      </c>
      <c r="I594">
        <v>40.52617584832177</v>
      </c>
    </row>
    <row r="595" spans="1:9" x14ac:dyDescent="0.2">
      <c r="A595">
        <v>585</v>
      </c>
      <c r="B595">
        <v>1231951.7096160429</v>
      </c>
      <c r="C595">
        <v>141933.36228563584</v>
      </c>
      <c r="D595">
        <v>59869.706407478261</v>
      </c>
      <c r="E595">
        <v>104524.50838195176</v>
      </c>
      <c r="F595">
        <v>43236.312118750502</v>
      </c>
      <c r="G595">
        <v>10000</v>
      </c>
      <c r="H595">
        <v>339563.88919381634</v>
      </c>
      <c r="I595">
        <v>40.536722482490411</v>
      </c>
    </row>
    <row r="596" spans="1:9" x14ac:dyDescent="0.2">
      <c r="A596">
        <v>586</v>
      </c>
      <c r="B596">
        <v>1620443.1278019135</v>
      </c>
      <c r="C596">
        <v>102540.77409940434</v>
      </c>
      <c r="D596">
        <v>138366.84017927083</v>
      </c>
      <c r="E596">
        <v>167529.2576574769</v>
      </c>
      <c r="F596">
        <v>47598.179376286869</v>
      </c>
      <c r="G596">
        <v>10000</v>
      </c>
      <c r="H596">
        <v>446035.05131243897</v>
      </c>
      <c r="I596">
        <v>32.873616060844732</v>
      </c>
    </row>
    <row r="597" spans="1:9" x14ac:dyDescent="0.2">
      <c r="A597">
        <v>587</v>
      </c>
      <c r="B597">
        <v>1135412.9702563365</v>
      </c>
      <c r="C597">
        <v>96408.193646689135</v>
      </c>
      <c r="D597">
        <v>68732.099203531528</v>
      </c>
      <c r="E597">
        <v>114068.81820293666</v>
      </c>
      <c r="F597">
        <v>43897.072029434072</v>
      </c>
      <c r="G597">
        <v>10000</v>
      </c>
      <c r="H597">
        <v>313106.18308259139</v>
      </c>
      <c r="I597">
        <v>32.628572960232376</v>
      </c>
    </row>
    <row r="598" spans="1:9" x14ac:dyDescent="0.2">
      <c r="A598">
        <v>588</v>
      </c>
      <c r="B598">
        <v>1251958.2358645941</v>
      </c>
      <c r="C598">
        <v>157732.64711470457</v>
      </c>
      <c r="D598">
        <v>131657.60553592088</v>
      </c>
      <c r="E598">
        <v>27736.469980552174</v>
      </c>
      <c r="F598">
        <v>37920.217152499761</v>
      </c>
      <c r="G598">
        <v>10000</v>
      </c>
      <c r="H598">
        <v>345046.93978367734</v>
      </c>
      <c r="I598">
        <v>43.057321068840707</v>
      </c>
    </row>
    <row r="599" spans="1:9" x14ac:dyDescent="0.2">
      <c r="A599">
        <v>589</v>
      </c>
      <c r="B599">
        <v>1376122.1988135003</v>
      </c>
      <c r="C599">
        <v>102841.12536371654</v>
      </c>
      <c r="D599">
        <v>134011.19671183793</v>
      </c>
      <c r="E599">
        <v>108698.1235104307</v>
      </c>
      <c r="F599">
        <v>43525.25470456828</v>
      </c>
      <c r="G599">
        <v>10000</v>
      </c>
      <c r="H599">
        <v>379075.70029055345</v>
      </c>
      <c r="I599">
        <v>44.483872941648684</v>
      </c>
    </row>
    <row r="600" spans="1:9" x14ac:dyDescent="0.2">
      <c r="A600">
        <v>590</v>
      </c>
      <c r="B600">
        <v>1192024.6589540464</v>
      </c>
      <c r="C600">
        <v>87020.693676669456</v>
      </c>
      <c r="D600">
        <v>25784.455768442822</v>
      </c>
      <c r="E600">
        <v>177525.95039423995</v>
      </c>
      <c r="F600">
        <v>48290.258104216613</v>
      </c>
      <c r="G600">
        <v>10000</v>
      </c>
      <c r="H600">
        <v>328621.35794356879</v>
      </c>
      <c r="I600">
        <v>53.223092372660368</v>
      </c>
    </row>
    <row r="601" spans="1:9" x14ac:dyDescent="0.2">
      <c r="A601">
        <v>591</v>
      </c>
      <c r="B601">
        <v>1624516.9243755376</v>
      </c>
      <c r="C601">
        <v>128497.68909726247</v>
      </c>
      <c r="D601">
        <v>90986.091292541329</v>
      </c>
      <c r="E601">
        <v>188610.12425090995</v>
      </c>
      <c r="F601">
        <v>49057.623986601451</v>
      </c>
      <c r="G601">
        <v>10000</v>
      </c>
      <c r="H601">
        <v>447151.52862731519</v>
      </c>
      <c r="I601">
        <v>32.840660714796812</v>
      </c>
    </row>
    <row r="602" spans="1:9" x14ac:dyDescent="0.2">
      <c r="A602">
        <v>592</v>
      </c>
      <c r="B602">
        <v>1213261.8363690495</v>
      </c>
      <c r="C602">
        <v>93074.216419936318</v>
      </c>
      <c r="D602">
        <v>133637.60286746919</v>
      </c>
      <c r="E602">
        <v>76438.003535621232</v>
      </c>
      <c r="F602">
        <v>41291.861783235319</v>
      </c>
      <c r="G602">
        <v>10000</v>
      </c>
      <c r="H602">
        <v>334441.68460626208</v>
      </c>
      <c r="I602">
        <v>34.771438008140663</v>
      </c>
    </row>
    <row r="603" spans="1:9" x14ac:dyDescent="0.2">
      <c r="A603">
        <v>593</v>
      </c>
      <c r="B603">
        <v>1688644.1025882044</v>
      </c>
      <c r="C603">
        <v>131895.68936963516</v>
      </c>
      <c r="D603">
        <v>163197.21581017456</v>
      </c>
      <c r="E603">
        <v>134333.50478776963</v>
      </c>
      <c r="F603">
        <v>45300.011869922513</v>
      </c>
      <c r="G603">
        <v>10000</v>
      </c>
      <c r="H603">
        <v>464726.42183750187</v>
      </c>
      <c r="I603">
        <v>34.553042872476929</v>
      </c>
    </row>
    <row r="604" spans="1:9" x14ac:dyDescent="0.2">
      <c r="A604">
        <v>594</v>
      </c>
      <c r="B604">
        <v>1692438.934443369</v>
      </c>
      <c r="C604">
        <v>117736.80019750637</v>
      </c>
      <c r="D604">
        <v>106881.09581836622</v>
      </c>
      <c r="E604">
        <v>201218.06759821632</v>
      </c>
      <c r="F604">
        <v>49930.481602953441</v>
      </c>
      <c r="G604">
        <v>10000</v>
      </c>
      <c r="H604">
        <v>465766.4452170424</v>
      </c>
      <c r="I604">
        <v>32.291820728101825</v>
      </c>
    </row>
    <row r="605" spans="1:9" x14ac:dyDescent="0.2">
      <c r="A605">
        <v>595</v>
      </c>
      <c r="B605">
        <v>1558807.4738829387</v>
      </c>
      <c r="C605">
        <v>140524.60048508429</v>
      </c>
      <c r="D605">
        <v>68670.95535334984</v>
      </c>
      <c r="E605">
        <v>181389.68940564041</v>
      </c>
      <c r="F605">
        <v>48557.747728082795</v>
      </c>
      <c r="G605">
        <v>10000</v>
      </c>
      <c r="H605">
        <v>429142.99297215737</v>
      </c>
      <c r="I605">
        <v>38.808665108698925</v>
      </c>
    </row>
    <row r="606" spans="1:9" x14ac:dyDescent="0.2">
      <c r="A606">
        <v>596</v>
      </c>
      <c r="B606">
        <v>1152415.8880004387</v>
      </c>
      <c r="C606">
        <v>128756.2963336598</v>
      </c>
      <c r="D606">
        <v>76446.254986916058</v>
      </c>
      <c r="E606">
        <v>80958.672895604963</v>
      </c>
      <c r="F606">
        <v>41604.831200464956</v>
      </c>
      <c r="G606">
        <v>10000</v>
      </c>
      <c r="H606">
        <v>317766.05541664583</v>
      </c>
      <c r="I606">
        <v>37.225269794041687</v>
      </c>
    </row>
    <row r="607" spans="1:9" x14ac:dyDescent="0.2">
      <c r="A607">
        <v>597</v>
      </c>
      <c r="B607">
        <v>938163.62772935303</v>
      </c>
      <c r="C607">
        <v>113129.02432970496</v>
      </c>
      <c r="D607">
        <v>67773.555195700057</v>
      </c>
      <c r="E607">
        <v>48768.552973180565</v>
      </c>
      <c r="F607">
        <v>39376.284436604808</v>
      </c>
      <c r="G607">
        <v>10000</v>
      </c>
      <c r="H607">
        <v>259047.41693519038</v>
      </c>
      <c r="I607">
        <v>41.251555623413317</v>
      </c>
    </row>
    <row r="608" spans="1:9" x14ac:dyDescent="0.2">
      <c r="A608">
        <v>598</v>
      </c>
      <c r="B608">
        <v>973743.13457328419</v>
      </c>
      <c r="C608">
        <v>86458.744939923461</v>
      </c>
      <c r="D608">
        <v>99044.18366247935</v>
      </c>
      <c r="E608">
        <v>53585.736492733835</v>
      </c>
      <c r="F608">
        <v>39709.781757189267</v>
      </c>
      <c r="G608">
        <v>10000</v>
      </c>
      <c r="H608">
        <v>268798.44685232587</v>
      </c>
      <c r="I608">
        <v>55.254648469542119</v>
      </c>
    </row>
    <row r="609" spans="1:9" x14ac:dyDescent="0.2">
      <c r="A609">
        <v>599</v>
      </c>
      <c r="B609">
        <v>1592020.6762897824</v>
      </c>
      <c r="C609">
        <v>162206.06240089017</v>
      </c>
      <c r="D609">
        <v>38038.823434856764</v>
      </c>
      <c r="E609">
        <v>198273.96145563034</v>
      </c>
      <c r="F609">
        <v>49726.658870005173</v>
      </c>
      <c r="G609">
        <v>10000</v>
      </c>
      <c r="H609">
        <v>438245.50616138242</v>
      </c>
      <c r="I609">
        <v>37.91596963087791</v>
      </c>
    </row>
    <row r="610" spans="1:9" x14ac:dyDescent="0.2">
      <c r="A610">
        <v>600</v>
      </c>
      <c r="B610">
        <v>1234026.2502535898</v>
      </c>
      <c r="C610">
        <v>145544.93906764226</v>
      </c>
      <c r="D610">
        <v>129520.42957233729</v>
      </c>
      <c r="E610">
        <v>36537.552710616466</v>
      </c>
      <c r="F610">
        <v>38529.522879965756</v>
      </c>
      <c r="G610">
        <v>10000</v>
      </c>
      <c r="H610">
        <v>340132.44423056178</v>
      </c>
      <c r="I610">
        <v>29.635854232569422</v>
      </c>
    </row>
    <row r="611" spans="1:9" x14ac:dyDescent="0.2">
      <c r="A611">
        <v>601</v>
      </c>
      <c r="B611">
        <v>1421064.6978062685</v>
      </c>
      <c r="C611">
        <v>102789.32218361339</v>
      </c>
      <c r="D611">
        <v>105813.81862665508</v>
      </c>
      <c r="E611">
        <v>146637.79284731045</v>
      </c>
      <c r="F611">
        <v>46151.847197121489</v>
      </c>
      <c r="G611">
        <v>10000</v>
      </c>
      <c r="H611">
        <v>391392.78085470037</v>
      </c>
      <c r="I611">
        <v>29.352594780148749</v>
      </c>
    </row>
    <row r="612" spans="1:9" x14ac:dyDescent="0.2">
      <c r="A612">
        <v>602</v>
      </c>
      <c r="B612">
        <v>1785023.0845987033</v>
      </c>
      <c r="C612">
        <v>122467.60333556768</v>
      </c>
      <c r="D612">
        <v>126315.64549431874</v>
      </c>
      <c r="E612">
        <v>202348.36272083118</v>
      </c>
      <c r="F612">
        <v>50008.732803749852</v>
      </c>
      <c r="G612">
        <v>10000</v>
      </c>
      <c r="H612">
        <v>491140.34435446747</v>
      </c>
      <c r="I612">
        <v>43.879400798006884</v>
      </c>
    </row>
    <row r="613" spans="1:9" x14ac:dyDescent="0.2">
      <c r="A613">
        <v>603</v>
      </c>
      <c r="B613">
        <v>1268024.8034456708</v>
      </c>
      <c r="C613">
        <v>84765.532157351816</v>
      </c>
      <c r="D613">
        <v>51817.322174947636</v>
      </c>
      <c r="E613">
        <v>174768.01466549875</v>
      </c>
      <c r="F613">
        <v>48099.324092226838</v>
      </c>
      <c r="G613">
        <v>10000</v>
      </c>
      <c r="H613">
        <v>349450.19309002504</v>
      </c>
      <c r="I613">
        <v>33.481881539726828</v>
      </c>
    </row>
    <row r="614" spans="1:9" x14ac:dyDescent="0.2">
      <c r="A614">
        <v>604</v>
      </c>
      <c r="B614">
        <v>1403092.2057562731</v>
      </c>
      <c r="C614">
        <v>135945.76579186766</v>
      </c>
      <c r="D614">
        <v>127849.93038583332</v>
      </c>
      <c r="E614">
        <v>90412.182837966975</v>
      </c>
      <c r="F614">
        <v>42259.304965705407</v>
      </c>
      <c r="G614">
        <v>10000</v>
      </c>
      <c r="H614">
        <v>386467.18398137332</v>
      </c>
      <c r="I614">
        <v>27.286813187668386</v>
      </c>
    </row>
    <row r="615" spans="1:9" x14ac:dyDescent="0.2">
      <c r="A615">
        <v>605</v>
      </c>
      <c r="B615">
        <v>1458355.0322219464</v>
      </c>
      <c r="C615">
        <v>97599.43329486881</v>
      </c>
      <c r="D615">
        <v>62722.99776084895</v>
      </c>
      <c r="E615">
        <v>201350.59766160708</v>
      </c>
      <c r="F615">
        <v>49939.656761188184</v>
      </c>
      <c r="G615">
        <v>10000</v>
      </c>
      <c r="H615">
        <v>401612.68547851301</v>
      </c>
      <c r="I615">
        <v>33.796876354618178</v>
      </c>
    </row>
    <row r="616" spans="1:9" x14ac:dyDescent="0.2">
      <c r="A616">
        <v>606</v>
      </c>
      <c r="B616">
        <v>1096753.4581692556</v>
      </c>
      <c r="C616">
        <v>119749.01358344509</v>
      </c>
      <c r="D616">
        <v>90990.211042308627</v>
      </c>
      <c r="E616">
        <v>61513.206175528292</v>
      </c>
      <c r="F616">
        <v>40258.60658138273</v>
      </c>
      <c r="G616">
        <v>10000</v>
      </c>
      <c r="H616">
        <v>302511.03738266474</v>
      </c>
      <c r="I616">
        <v>42.483140565134732</v>
      </c>
    </row>
    <row r="617" spans="1:9" x14ac:dyDescent="0.2">
      <c r="A617">
        <v>607</v>
      </c>
      <c r="B617">
        <v>1290261.7385274931</v>
      </c>
      <c r="C617">
        <v>90954.802971432233</v>
      </c>
      <c r="D617">
        <v>116468.53672360908</v>
      </c>
      <c r="E617">
        <v>114214.0501907266</v>
      </c>
      <c r="F617">
        <v>43907.126551665686</v>
      </c>
      <c r="G617">
        <v>10000</v>
      </c>
      <c r="H617">
        <v>355544.51643743354</v>
      </c>
      <c r="I617">
        <v>32.74290099590192</v>
      </c>
    </row>
    <row r="618" spans="1:9" x14ac:dyDescent="0.2">
      <c r="A618">
        <v>608</v>
      </c>
      <c r="B618">
        <v>1304333.8690124054</v>
      </c>
      <c r="C618">
        <v>102373.24588693317</v>
      </c>
      <c r="D618">
        <v>45697.710071078407</v>
      </c>
      <c r="E618">
        <v>173330.41426330383</v>
      </c>
      <c r="F618">
        <v>47999.797910536421</v>
      </c>
      <c r="G618">
        <v>10000</v>
      </c>
      <c r="H618">
        <v>359401.16813185182</v>
      </c>
      <c r="I618">
        <v>35.182464513347185</v>
      </c>
    </row>
    <row r="619" spans="1:9" x14ac:dyDescent="0.2">
      <c r="A619">
        <v>609</v>
      </c>
      <c r="B619">
        <v>1276857.2674780926</v>
      </c>
      <c r="C619">
        <v>145807.88841392371</v>
      </c>
      <c r="D619">
        <v>67248.634241365697</v>
      </c>
      <c r="E619">
        <v>105509.79839745814</v>
      </c>
      <c r="F619">
        <v>43304.524504439411</v>
      </c>
      <c r="G619">
        <v>10000</v>
      </c>
      <c r="H619">
        <v>351870.84555718699</v>
      </c>
      <c r="I619">
        <v>33.060208616276704</v>
      </c>
    </row>
    <row r="620" spans="1:9" x14ac:dyDescent="0.2">
      <c r="A620">
        <v>610</v>
      </c>
      <c r="B620">
        <v>1064802.2589547371</v>
      </c>
      <c r="C620">
        <v>133697.63717842841</v>
      </c>
      <c r="D620">
        <v>66432.894073548159</v>
      </c>
      <c r="E620">
        <v>63245.338044588512</v>
      </c>
      <c r="F620">
        <v>40378.523403086896</v>
      </c>
      <c r="G620">
        <v>10000</v>
      </c>
      <c r="H620">
        <v>293754.39269965194</v>
      </c>
      <c r="I620">
        <v>36.591706816286006</v>
      </c>
    </row>
    <row r="621" spans="1:9" x14ac:dyDescent="0.2">
      <c r="A621">
        <v>611</v>
      </c>
      <c r="B621">
        <v>1048713.0706257501</v>
      </c>
      <c r="C621">
        <v>105402.80469967939</v>
      </c>
      <c r="D621">
        <v>84474.96279728887</v>
      </c>
      <c r="E621">
        <v>68710.305107389839</v>
      </c>
      <c r="F621">
        <v>40756.867276665449</v>
      </c>
      <c r="G621">
        <v>10000</v>
      </c>
      <c r="H621">
        <v>289344.93988102354</v>
      </c>
      <c r="I621">
        <v>27.507523544856753</v>
      </c>
    </row>
    <row r="622" spans="1:9" x14ac:dyDescent="0.2">
      <c r="A622">
        <v>612</v>
      </c>
      <c r="B622">
        <v>1234172.9375103763</v>
      </c>
      <c r="C622">
        <v>119907.8105505414</v>
      </c>
      <c r="D622">
        <v>106880.13015219491</v>
      </c>
      <c r="E622">
        <v>81726.702604073536</v>
      </c>
      <c r="F622">
        <v>41658.002487974321</v>
      </c>
      <c r="G622">
        <v>10000</v>
      </c>
      <c r="H622">
        <v>340172.64579478413</v>
      </c>
      <c r="I622">
        <v>34.279165178194319</v>
      </c>
    </row>
    <row r="623" spans="1:9" x14ac:dyDescent="0.2">
      <c r="A623">
        <v>613</v>
      </c>
      <c r="B623">
        <v>1183606.8550153021</v>
      </c>
      <c r="C623">
        <v>91229.211897651287</v>
      </c>
      <c r="D623">
        <v>112285.46387346015</v>
      </c>
      <c r="E623">
        <v>90532.068026216381</v>
      </c>
      <c r="F623">
        <v>42267.604709507286</v>
      </c>
      <c r="G623">
        <v>10000</v>
      </c>
      <c r="H623">
        <v>326314.34850683517</v>
      </c>
      <c r="I623">
        <v>46.185000773473774</v>
      </c>
    </row>
    <row r="624" spans="1:9" x14ac:dyDescent="0.2">
      <c r="A624">
        <v>614</v>
      </c>
      <c r="B624">
        <v>786237.98375310097</v>
      </c>
      <c r="C624">
        <v>115293.79113580672</v>
      </c>
      <c r="D624">
        <v>45505.705115573001</v>
      </c>
      <c r="E624">
        <v>28628.719555914857</v>
      </c>
      <c r="F624">
        <v>37981.988276947952</v>
      </c>
      <c r="G624">
        <v>10000</v>
      </c>
      <c r="H624">
        <v>217410.20408424255</v>
      </c>
      <c r="I624">
        <v>35.650147367594712</v>
      </c>
    </row>
    <row r="625" spans="1:9" x14ac:dyDescent="0.2">
      <c r="A625">
        <v>615</v>
      </c>
      <c r="B625">
        <v>1165319.605904371</v>
      </c>
      <c r="C625">
        <v>80382.742125164325</v>
      </c>
      <c r="D625">
        <v>135138.19458623737</v>
      </c>
      <c r="E625">
        <v>74615.839650646521</v>
      </c>
      <c r="F625">
        <v>41165.711975813996</v>
      </c>
      <c r="G625">
        <v>10000</v>
      </c>
      <c r="H625">
        <v>321302.48833786225</v>
      </c>
      <c r="I625">
        <v>31.495312645473312</v>
      </c>
    </row>
    <row r="626" spans="1:9" x14ac:dyDescent="0.2">
      <c r="A626">
        <v>616</v>
      </c>
      <c r="B626">
        <v>1296640.4336932476</v>
      </c>
      <c r="C626">
        <v>104819.66865967608</v>
      </c>
      <c r="D626">
        <v>99239.773734136019</v>
      </c>
      <c r="E626">
        <v>118995.11562107285</v>
      </c>
      <c r="F626">
        <v>44238.123389151195</v>
      </c>
      <c r="G626">
        <v>10000</v>
      </c>
      <c r="H626">
        <v>357292.68140403612</v>
      </c>
      <c r="I626">
        <v>32.250550874080275</v>
      </c>
    </row>
    <row r="627" spans="1:9" x14ac:dyDescent="0.2">
      <c r="A627">
        <v>617</v>
      </c>
      <c r="B627">
        <v>1155663.0119082597</v>
      </c>
      <c r="C627">
        <v>87914.680829762874</v>
      </c>
      <c r="D627">
        <v>92063.524544442451</v>
      </c>
      <c r="E627">
        <v>105382.08413650979</v>
      </c>
      <c r="F627">
        <v>43295.682747912215</v>
      </c>
      <c r="G627">
        <v>10000</v>
      </c>
      <c r="H627">
        <v>318655.9722586273</v>
      </c>
      <c r="I627">
        <v>41.606606021962499</v>
      </c>
    </row>
    <row r="628" spans="1:9" x14ac:dyDescent="0.2">
      <c r="A628">
        <v>618</v>
      </c>
      <c r="B628">
        <v>1229745.1205126303</v>
      </c>
      <c r="C628">
        <v>114618.43500953916</v>
      </c>
      <c r="D628">
        <v>108078.28171577684</v>
      </c>
      <c r="E628">
        <v>84418.09796109717</v>
      </c>
      <c r="F628">
        <v>41844.329858845187</v>
      </c>
      <c r="G628">
        <v>10000</v>
      </c>
      <c r="H628">
        <v>338959.14454525837</v>
      </c>
      <c r="I628">
        <v>40.605460498214931</v>
      </c>
    </row>
    <row r="629" spans="1:9" x14ac:dyDescent="0.2">
      <c r="A629">
        <v>619</v>
      </c>
      <c r="B629">
        <v>899939.23427667876</v>
      </c>
      <c r="C629">
        <v>111568.07548210952</v>
      </c>
      <c r="D629">
        <v>64453.845753507514</v>
      </c>
      <c r="E629">
        <v>43535.597085971705</v>
      </c>
      <c r="F629">
        <v>39014.002875182654</v>
      </c>
      <c r="G629">
        <v>10000</v>
      </c>
      <c r="H629">
        <v>248571.52119677138</v>
      </c>
      <c r="I629">
        <v>37.69067940750795</v>
      </c>
    </row>
    <row r="630" spans="1:9" x14ac:dyDescent="0.2">
      <c r="A630">
        <v>620</v>
      </c>
      <c r="B630">
        <v>1166443.1368549075</v>
      </c>
      <c r="C630">
        <v>111180.69742371568</v>
      </c>
      <c r="D630">
        <v>125246.95045205759</v>
      </c>
      <c r="E630">
        <v>55350.781645694311</v>
      </c>
      <c r="F630">
        <v>39831.97719085576</v>
      </c>
      <c r="G630">
        <v>10000</v>
      </c>
      <c r="H630">
        <v>321610.40671232331</v>
      </c>
      <c r="I630">
        <v>39.024485521843737</v>
      </c>
    </row>
    <row r="631" spans="1:9" x14ac:dyDescent="0.2">
      <c r="A631">
        <v>621</v>
      </c>
      <c r="B631">
        <v>1128876.8190901091</v>
      </c>
      <c r="C631">
        <v>82445.736099295711</v>
      </c>
      <c r="D631">
        <v>66067.487898563806</v>
      </c>
      <c r="E631">
        <v>127943.98101455225</v>
      </c>
      <c r="F631">
        <v>44857.660224084386</v>
      </c>
      <c r="G631">
        <v>10000</v>
      </c>
      <c r="H631">
        <v>311314.86523649615</v>
      </c>
      <c r="I631">
        <v>25.522815839927461</v>
      </c>
    </row>
    <row r="632" spans="1:9" x14ac:dyDescent="0.2">
      <c r="A632">
        <v>622</v>
      </c>
      <c r="B632">
        <v>1582359.4837239613</v>
      </c>
      <c r="C632">
        <v>117382.05707697733</v>
      </c>
      <c r="D632">
        <v>167979.63853462503</v>
      </c>
      <c r="E632">
        <v>116191.97440572781</v>
      </c>
      <c r="F632">
        <v>44044.059766550388</v>
      </c>
      <c r="G632">
        <v>10000</v>
      </c>
      <c r="H632">
        <v>435597.72978388058</v>
      </c>
      <c r="I632">
        <v>51.081693437060473</v>
      </c>
    </row>
    <row r="633" spans="1:9" x14ac:dyDescent="0.2">
      <c r="A633">
        <v>623</v>
      </c>
      <c r="B633">
        <v>1103659.91849214</v>
      </c>
      <c r="C633">
        <v>88323.276635185612</v>
      </c>
      <c r="D633">
        <v>32450.093425193521</v>
      </c>
      <c r="E633">
        <v>147424.18360907806</v>
      </c>
      <c r="F633">
        <v>46206.289634474633</v>
      </c>
      <c r="G633">
        <v>10000</v>
      </c>
      <c r="H633">
        <v>304403.84330393182</v>
      </c>
      <c r="I633">
        <v>40.576918398349079</v>
      </c>
    </row>
    <row r="634" spans="1:9" x14ac:dyDescent="0.2">
      <c r="A634">
        <v>624</v>
      </c>
      <c r="B634">
        <v>1595654.6685855999</v>
      </c>
      <c r="C634">
        <v>135127.47234151367</v>
      </c>
      <c r="D634">
        <v>87524.161461913827</v>
      </c>
      <c r="E634">
        <v>178249.46777998738</v>
      </c>
      <c r="F634">
        <v>48340.347769383741</v>
      </c>
      <c r="G634">
        <v>10000</v>
      </c>
      <c r="H634">
        <v>439241.44935279863</v>
      </c>
      <c r="I634">
        <v>26.427219080520199</v>
      </c>
    </row>
    <row r="635" spans="1:9" x14ac:dyDescent="0.2">
      <c r="A635">
        <v>625</v>
      </c>
      <c r="B635">
        <v>1549022.9838104756</v>
      </c>
      <c r="C635">
        <v>121710.65405759602</v>
      </c>
      <c r="D635">
        <v>139526.0323050594</v>
      </c>
      <c r="E635">
        <v>130210.18749334682</v>
      </c>
      <c r="F635">
        <v>45014.551441847085</v>
      </c>
      <c r="G635">
        <v>10000</v>
      </c>
      <c r="H635">
        <v>426461.42529784935</v>
      </c>
      <c r="I635">
        <v>34.335752279139051</v>
      </c>
    </row>
    <row r="636" spans="1:9" x14ac:dyDescent="0.2">
      <c r="A636">
        <v>626</v>
      </c>
      <c r="B636">
        <v>1470472.3942200788</v>
      </c>
      <c r="C636">
        <v>134566.92889697046</v>
      </c>
      <c r="D636">
        <v>60171.016967893323</v>
      </c>
      <c r="E636">
        <v>172269.32360980011</v>
      </c>
      <c r="F636">
        <v>47926.33778837078</v>
      </c>
      <c r="G636">
        <v>10000</v>
      </c>
      <c r="H636">
        <v>404933.60726303468</v>
      </c>
      <c r="I636">
        <v>32.162552263025717</v>
      </c>
    </row>
    <row r="637" spans="1:9" x14ac:dyDescent="0.2">
      <c r="A637">
        <v>627</v>
      </c>
      <c r="B637">
        <v>1114929.5052980131</v>
      </c>
      <c r="C637">
        <v>83532.54484270564</v>
      </c>
      <c r="D637">
        <v>94801.28517359891</v>
      </c>
      <c r="E637">
        <v>96479.257933874644</v>
      </c>
      <c r="F637">
        <v>42679.333241575936</v>
      </c>
      <c r="G637">
        <v>10000</v>
      </c>
      <c r="H637">
        <v>307492.42119175516</v>
      </c>
      <c r="I637">
        <v>35.668609999929508</v>
      </c>
    </row>
    <row r="638" spans="1:9" x14ac:dyDescent="0.2">
      <c r="A638">
        <v>628</v>
      </c>
      <c r="B638">
        <v>1043552.6155657542</v>
      </c>
      <c r="C638">
        <v>106824.9214818646</v>
      </c>
      <c r="D638">
        <v>114934.74166331012</v>
      </c>
      <c r="E638">
        <v>37569.987307061194</v>
      </c>
      <c r="F638">
        <v>38600.999121258086</v>
      </c>
      <c r="G638">
        <v>10000</v>
      </c>
      <c r="H638">
        <v>287930.64957349404</v>
      </c>
      <c r="I638">
        <v>41.063447768390184</v>
      </c>
    </row>
    <row r="639" spans="1:9" x14ac:dyDescent="0.2">
      <c r="A639">
        <v>629</v>
      </c>
      <c r="B639">
        <v>1073654.0760213258</v>
      </c>
      <c r="C639">
        <v>112173.02578085467</v>
      </c>
      <c r="D639">
        <v>124390.80433260612</v>
      </c>
      <c r="E639">
        <v>31439.90986161229</v>
      </c>
      <c r="F639">
        <v>38176.609144265465</v>
      </c>
      <c r="G639">
        <v>10000</v>
      </c>
      <c r="H639">
        <v>296180.34911933856</v>
      </c>
      <c r="I639">
        <v>38.609043269032696</v>
      </c>
    </row>
    <row r="640" spans="1:9" x14ac:dyDescent="0.2">
      <c r="A640">
        <v>630</v>
      </c>
      <c r="B640">
        <v>1411107.5450989276</v>
      </c>
      <c r="C640">
        <v>116845.55051376385</v>
      </c>
      <c r="D640">
        <v>158787.97484817111</v>
      </c>
      <c r="E640">
        <v>81395.307604383415</v>
      </c>
      <c r="F640">
        <v>41635.059757226547</v>
      </c>
      <c r="G640">
        <v>10000</v>
      </c>
      <c r="H640">
        <v>388663.89272354491</v>
      </c>
      <c r="I640">
        <v>32.089770414968832</v>
      </c>
    </row>
    <row r="641" spans="1:9" x14ac:dyDescent="0.2">
      <c r="A641">
        <v>631</v>
      </c>
      <c r="B641">
        <v>1321675.7850677285</v>
      </c>
      <c r="C641">
        <v>128964.46698176286</v>
      </c>
      <c r="D641">
        <v>88185.994824212059</v>
      </c>
      <c r="E641">
        <v>113168.72752812204</v>
      </c>
      <c r="F641">
        <v>43834.758059639214</v>
      </c>
      <c r="G641">
        <v>10000</v>
      </c>
      <c r="H641">
        <v>364153.94739373616</v>
      </c>
      <c r="I641">
        <v>48.90009639740547</v>
      </c>
    </row>
    <row r="642" spans="1:9" x14ac:dyDescent="0.2">
      <c r="A642">
        <v>632</v>
      </c>
      <c r="B642">
        <v>1184578.2614634212</v>
      </c>
      <c r="C642">
        <v>149362.42097267244</v>
      </c>
      <c r="D642">
        <v>60159.50974463825</v>
      </c>
      <c r="E642">
        <v>85162.760997687772</v>
      </c>
      <c r="F642">
        <v>41895.883453686074</v>
      </c>
      <c r="G642">
        <v>10000</v>
      </c>
      <c r="H642">
        <v>326580.57516868453</v>
      </c>
      <c r="I642">
        <v>40.894259766379662</v>
      </c>
    </row>
    <row r="643" spans="1:9" x14ac:dyDescent="0.2">
      <c r="A643">
        <v>633</v>
      </c>
      <c r="B643">
        <v>1067579.3514157138</v>
      </c>
      <c r="C643">
        <v>94461.978935271807</v>
      </c>
      <c r="D643">
        <v>82149.068889496819</v>
      </c>
      <c r="E643">
        <v>85953.796024681797</v>
      </c>
      <c r="F643">
        <v>41950.647417093358</v>
      </c>
      <c r="G643">
        <v>10000</v>
      </c>
      <c r="H643">
        <v>294515.4912665438</v>
      </c>
      <c r="I643">
        <v>30.098725958263504</v>
      </c>
    </row>
    <row r="644" spans="1:9" x14ac:dyDescent="0.2">
      <c r="A644">
        <v>634</v>
      </c>
      <c r="B644">
        <v>1141150.9177347461</v>
      </c>
      <c r="C644">
        <v>112557.61494791097</v>
      </c>
      <c r="D644">
        <v>58895.862618284867</v>
      </c>
      <c r="E644">
        <v>109635.14010195516</v>
      </c>
      <c r="F644">
        <v>43590.125083981511</v>
      </c>
      <c r="G644">
        <v>10000</v>
      </c>
      <c r="H644">
        <v>314678.74275213247</v>
      </c>
      <c r="I644">
        <v>36.50042013774042</v>
      </c>
    </row>
    <row r="645" spans="1:9" x14ac:dyDescent="0.2">
      <c r="A645">
        <v>635</v>
      </c>
      <c r="B645">
        <v>1082070.2052157498</v>
      </c>
      <c r="C645">
        <v>104315.15464832715</v>
      </c>
      <c r="D645">
        <v>123385.64627530983</v>
      </c>
      <c r="E645">
        <v>41886.279309971949</v>
      </c>
      <c r="F645">
        <v>38899.819336844208</v>
      </c>
      <c r="G645">
        <v>10000</v>
      </c>
      <c r="H645">
        <v>298486.89957045316</v>
      </c>
      <c r="I645">
        <v>34.549068190598604</v>
      </c>
    </row>
    <row r="646" spans="1:9" x14ac:dyDescent="0.2">
      <c r="A646">
        <v>636</v>
      </c>
      <c r="B646">
        <v>1269268.1136340275</v>
      </c>
      <c r="C646">
        <v>114070.33627517181</v>
      </c>
      <c r="D646">
        <v>114000.19639203431</v>
      </c>
      <c r="E646">
        <v>89522.681745580616</v>
      </c>
      <c r="F646">
        <v>42197.724120847888</v>
      </c>
      <c r="G646">
        <v>10000</v>
      </c>
      <c r="H646">
        <v>349790.93853363465</v>
      </c>
      <c r="I646">
        <v>27.05359559260247</v>
      </c>
    </row>
    <row r="647" spans="1:9" x14ac:dyDescent="0.2">
      <c r="A647">
        <v>637</v>
      </c>
      <c r="B647">
        <v>1195749.3630599515</v>
      </c>
      <c r="C647">
        <v>85527.253408192832</v>
      </c>
      <c r="D647">
        <v>84050.23205608291</v>
      </c>
      <c r="E647">
        <v>125384.22975516698</v>
      </c>
      <c r="F647">
        <v>44680.446675357714</v>
      </c>
      <c r="G647">
        <v>10000</v>
      </c>
      <c r="H647">
        <v>329642.16189480043</v>
      </c>
      <c r="I647">
        <v>37.832263916722177</v>
      </c>
    </row>
    <row r="648" spans="1:9" x14ac:dyDescent="0.2">
      <c r="A648">
        <v>638</v>
      </c>
      <c r="B648">
        <v>1439623.0009759273</v>
      </c>
      <c r="C648">
        <v>79472.837041328952</v>
      </c>
      <c r="D648">
        <v>110850.27928934818</v>
      </c>
      <c r="E648">
        <v>168491.04589275605</v>
      </c>
      <c r="F648">
        <v>47664.764715652338</v>
      </c>
      <c r="G648">
        <v>10000</v>
      </c>
      <c r="H648">
        <v>396478.92693908548</v>
      </c>
      <c r="I648">
        <v>33.828931620722017</v>
      </c>
    </row>
    <row r="649" spans="1:9" x14ac:dyDescent="0.2">
      <c r="A649">
        <v>639</v>
      </c>
      <c r="B649">
        <v>1144961.4526910079</v>
      </c>
      <c r="C649">
        <v>112665.61763830598</v>
      </c>
      <c r="D649">
        <v>73017.093897714876</v>
      </c>
      <c r="E649">
        <v>97303.932163359335</v>
      </c>
      <c r="F649">
        <v>42736.426072847949</v>
      </c>
      <c r="G649">
        <v>10000</v>
      </c>
      <c r="H649">
        <v>315723.06977222819</v>
      </c>
      <c r="I649">
        <v>32.536100106089421</v>
      </c>
    </row>
    <row r="650" spans="1:9" x14ac:dyDescent="0.2">
      <c r="A650">
        <v>640</v>
      </c>
      <c r="B650">
        <v>1411643.2808898471</v>
      </c>
      <c r="C650">
        <v>95357.015497577406</v>
      </c>
      <c r="D650">
        <v>115176.61754656403</v>
      </c>
      <c r="E650">
        <v>142417.41771069638</v>
      </c>
      <c r="F650">
        <v>45859.667379971288</v>
      </c>
      <c r="G650">
        <v>10000</v>
      </c>
      <c r="H650">
        <v>388810.71813480911</v>
      </c>
      <c r="I650">
        <v>40.526166336779667</v>
      </c>
    </row>
    <row r="651" spans="1:9" x14ac:dyDescent="0.2">
      <c r="A651">
        <v>641</v>
      </c>
      <c r="B651">
        <v>963253.03785338381</v>
      </c>
      <c r="C651">
        <v>133051.93166963468</v>
      </c>
      <c r="D651">
        <v>40204.863578038225</v>
      </c>
      <c r="E651">
        <v>62350.154058533954</v>
      </c>
      <c r="F651">
        <v>40316.54912712927</v>
      </c>
      <c r="G651">
        <v>10000</v>
      </c>
      <c r="H651">
        <v>265923.49843333615</v>
      </c>
      <c r="I651">
        <v>31.977612263506604</v>
      </c>
    </row>
    <row r="652" spans="1:9" x14ac:dyDescent="0.2">
      <c r="A652">
        <v>642</v>
      </c>
      <c r="B652">
        <v>1515390.6988216001</v>
      </c>
      <c r="C652">
        <v>94726.895246101529</v>
      </c>
      <c r="D652">
        <v>122035.89466719664</v>
      </c>
      <c r="E652">
        <v>163183.9188929802</v>
      </c>
      <c r="F652">
        <v>47297.348231052478</v>
      </c>
      <c r="G652">
        <v>10000</v>
      </c>
      <c r="H652">
        <v>417244.05703733081</v>
      </c>
      <c r="I652">
        <v>42.155515000960747</v>
      </c>
    </row>
    <row r="653" spans="1:9" x14ac:dyDescent="0.2">
      <c r="A653">
        <v>643</v>
      </c>
      <c r="B653">
        <v>1784993.1812227098</v>
      </c>
      <c r="C653">
        <v>148550.6304312211</v>
      </c>
      <c r="D653">
        <v>156700.82874907093</v>
      </c>
      <c r="E653">
        <v>149528.70265536147</v>
      </c>
      <c r="F653">
        <v>46351.987106909633</v>
      </c>
      <c r="G653">
        <v>10000</v>
      </c>
      <c r="H653">
        <v>491132.1489425631</v>
      </c>
      <c r="I653">
        <v>36.70607938708477</v>
      </c>
    </row>
    <row r="654" spans="1:9" x14ac:dyDescent="0.2">
      <c r="A654">
        <v>644</v>
      </c>
      <c r="B654">
        <v>1448887.6988607319</v>
      </c>
      <c r="C654">
        <v>126174.0286260626</v>
      </c>
      <c r="D654">
        <v>100796.2007492413</v>
      </c>
      <c r="E654">
        <v>136591.47639870053</v>
      </c>
      <c r="F654">
        <v>45456.332981448497</v>
      </c>
      <c r="G654">
        <v>10000</v>
      </c>
      <c r="H654">
        <v>399018.03875545296</v>
      </c>
      <c r="I654">
        <v>41.688090185149719</v>
      </c>
    </row>
    <row r="655" spans="1:9" x14ac:dyDescent="0.2">
      <c r="A655">
        <v>645</v>
      </c>
      <c r="B655">
        <v>939644.99117210321</v>
      </c>
      <c r="C655">
        <v>101366.65369363171</v>
      </c>
      <c r="D655">
        <v>73146.465816812299</v>
      </c>
      <c r="E655">
        <v>55124.007068610656</v>
      </c>
      <c r="F655">
        <v>39816.277412442279</v>
      </c>
      <c r="G655">
        <v>10000</v>
      </c>
      <c r="H655">
        <v>259453.40399149695</v>
      </c>
      <c r="I655">
        <v>30.634599321675076</v>
      </c>
    </row>
    <row r="656" spans="1:9" x14ac:dyDescent="0.2">
      <c r="A656">
        <v>646</v>
      </c>
      <c r="B656">
        <v>1115746.9958557393</v>
      </c>
      <c r="C656">
        <v>112907.32654585651</v>
      </c>
      <c r="D656">
        <v>75591.846570847163</v>
      </c>
      <c r="E656">
        <v>87181.640066354827</v>
      </c>
      <c r="F656">
        <v>42035.652004593794</v>
      </c>
      <c r="G656">
        <v>10000</v>
      </c>
      <c r="H656">
        <v>307716.46518765233</v>
      </c>
      <c r="I656">
        <v>25.041936286862189</v>
      </c>
    </row>
    <row r="657" spans="1:9" x14ac:dyDescent="0.2">
      <c r="A657">
        <v>647</v>
      </c>
      <c r="B657">
        <v>1073912.8614239916</v>
      </c>
      <c r="C657">
        <v>131876.02421778964</v>
      </c>
      <c r="D657">
        <v>48308.226973642806</v>
      </c>
      <c r="E657">
        <v>84235.343809091995</v>
      </c>
      <c r="F657">
        <v>41831.677648321755</v>
      </c>
      <c r="G657">
        <v>10000</v>
      </c>
      <c r="H657">
        <v>296251.27264884615</v>
      </c>
      <c r="I657">
        <v>41.426892913988723</v>
      </c>
    </row>
    <row r="658" spans="1:9" x14ac:dyDescent="0.2">
      <c r="A658">
        <v>648</v>
      </c>
      <c r="B658">
        <v>1128692.244854867</v>
      </c>
      <c r="C658">
        <v>102944.88555673805</v>
      </c>
      <c r="D658">
        <v>67592.685271513721</v>
      </c>
      <c r="E658">
        <v>107298.36132925788</v>
      </c>
      <c r="F658">
        <v>43428.348092025546</v>
      </c>
      <c r="G658">
        <v>10000</v>
      </c>
      <c r="H658">
        <v>311264.28024953522</v>
      </c>
      <c r="I658">
        <v>34.960101143915452</v>
      </c>
    </row>
    <row r="659" spans="1:9" x14ac:dyDescent="0.2">
      <c r="A659">
        <v>649</v>
      </c>
      <c r="B659">
        <v>1304316.3760595601</v>
      </c>
      <c r="C659">
        <v>100194.0446521967</v>
      </c>
      <c r="D659">
        <v>64233.78036172322</v>
      </c>
      <c r="E659">
        <v>158028.13930113456</v>
      </c>
      <c r="F659">
        <v>46940.409643924701</v>
      </c>
      <c r="G659">
        <v>10000</v>
      </c>
      <c r="H659">
        <v>359396.37395897915</v>
      </c>
      <c r="I659">
        <v>26.528091365624761</v>
      </c>
    </row>
    <row r="660" spans="1:9" x14ac:dyDescent="0.2">
      <c r="A660">
        <v>650</v>
      </c>
      <c r="B660">
        <v>1390164.2084858364</v>
      </c>
      <c r="C660">
        <v>140223.97580486836</v>
      </c>
      <c r="D660">
        <v>58541.199325891313</v>
      </c>
      <c r="E660">
        <v>147918.41611960679</v>
      </c>
      <c r="F660">
        <v>46240.505731357393</v>
      </c>
      <c r="G660">
        <v>10000</v>
      </c>
      <c r="H660">
        <v>382924.09698172379</v>
      </c>
      <c r="I660">
        <v>44.36775105462624</v>
      </c>
    </row>
    <row r="661" spans="1:9" x14ac:dyDescent="0.2">
      <c r="A661">
        <v>651</v>
      </c>
      <c r="B661">
        <v>1166037.022154117</v>
      </c>
      <c r="C661">
        <v>102849.40521059958</v>
      </c>
      <c r="D661">
        <v>61508.452627685809</v>
      </c>
      <c r="E661">
        <v>122650.08788964711</v>
      </c>
      <c r="F661">
        <v>44491.159930821719</v>
      </c>
      <c r="G661">
        <v>10000</v>
      </c>
      <c r="H661">
        <v>321499.10565875424</v>
      </c>
      <c r="I661">
        <v>31.115187943442717</v>
      </c>
    </row>
    <row r="662" spans="1:9" x14ac:dyDescent="0.2">
      <c r="A662">
        <v>652</v>
      </c>
      <c r="B662">
        <v>1198607.8021960587</v>
      </c>
      <c r="C662">
        <v>90611.37478333943</v>
      </c>
      <c r="D662">
        <v>144390.26773563898</v>
      </c>
      <c r="E662">
        <v>64928.838621584931</v>
      </c>
      <c r="F662">
        <v>40495.073443032808</v>
      </c>
      <c r="G662">
        <v>10000</v>
      </c>
      <c r="H662">
        <v>330425.55458359612</v>
      </c>
      <c r="I662">
        <v>24.307097696174033</v>
      </c>
    </row>
    <row r="663" spans="1:9" x14ac:dyDescent="0.2">
      <c r="A663">
        <v>653</v>
      </c>
      <c r="B663">
        <v>1097865.5716480475</v>
      </c>
      <c r="C663">
        <v>95197.90800896351</v>
      </c>
      <c r="D663">
        <v>63696.49563318419</v>
      </c>
      <c r="E663">
        <v>110286.22295645421</v>
      </c>
      <c r="F663">
        <v>43635.200050831445</v>
      </c>
      <c r="G663">
        <v>10000</v>
      </c>
      <c r="H663">
        <v>302815.82664943335</v>
      </c>
      <c r="I663">
        <v>35.544802195539532</v>
      </c>
    </row>
    <row r="664" spans="1:9" x14ac:dyDescent="0.2">
      <c r="A664">
        <v>654</v>
      </c>
      <c r="B664">
        <v>814103.77697751566</v>
      </c>
      <c r="C664">
        <v>84391.209859478462</v>
      </c>
      <c r="D664">
        <v>82280.274869757806</v>
      </c>
      <c r="E664">
        <v>30279.436340737957</v>
      </c>
      <c r="F664">
        <v>38096.268669743396</v>
      </c>
      <c r="G664">
        <v>10000</v>
      </c>
      <c r="H664">
        <v>225047.18973971764</v>
      </c>
      <c r="I664">
        <v>53.269100623073342</v>
      </c>
    </row>
    <row r="665" spans="1:9" x14ac:dyDescent="0.2">
      <c r="A665">
        <v>655</v>
      </c>
      <c r="B665">
        <v>893407.18559160677</v>
      </c>
      <c r="C665">
        <v>110206.48897590264</v>
      </c>
      <c r="D665">
        <v>63481.193959017633</v>
      </c>
      <c r="E665">
        <v>44044.415957404999</v>
      </c>
      <c r="F665">
        <v>39049.22879705111</v>
      </c>
      <c r="G665">
        <v>10000</v>
      </c>
      <c r="H665">
        <v>246781.32768937637</v>
      </c>
      <c r="I665">
        <v>42.145983003464792</v>
      </c>
    </row>
    <row r="666" spans="1:9" x14ac:dyDescent="0.2">
      <c r="A666">
        <v>656</v>
      </c>
      <c r="B666">
        <v>918526.05555512826</v>
      </c>
      <c r="C666">
        <v>86763.914342516116</v>
      </c>
      <c r="D666">
        <v>86276.653325109568</v>
      </c>
      <c r="E666">
        <v>51088.050350543752</v>
      </c>
      <c r="F666">
        <v>39536.865024268416</v>
      </c>
      <c r="G666">
        <v>10000</v>
      </c>
      <c r="H666">
        <v>253665.48304243782</v>
      </c>
      <c r="I666">
        <v>39.125556466254508</v>
      </c>
    </row>
    <row r="667" spans="1:9" x14ac:dyDescent="0.2">
      <c r="A667">
        <v>657</v>
      </c>
      <c r="B667">
        <v>881279.63453346351</v>
      </c>
      <c r="C667">
        <v>116727.93128745613</v>
      </c>
      <c r="D667">
        <v>63193.138561954504</v>
      </c>
      <c r="E667">
        <v>35106.119923095044</v>
      </c>
      <c r="F667">
        <v>38430.4236869835</v>
      </c>
      <c r="G667">
        <v>10000</v>
      </c>
      <c r="H667">
        <v>243457.61345948916</v>
      </c>
      <c r="I667">
        <v>41.229178923528082</v>
      </c>
    </row>
    <row r="668" spans="1:9" x14ac:dyDescent="0.2">
      <c r="A668">
        <v>658</v>
      </c>
      <c r="B668">
        <v>1584057.4094937395</v>
      </c>
      <c r="C668">
        <v>131081.95441653099</v>
      </c>
      <c r="D668">
        <v>78147.190060149311</v>
      </c>
      <c r="E668">
        <v>187830.28873227068</v>
      </c>
      <c r="F668">
        <v>49003.635373772588</v>
      </c>
      <c r="G668">
        <v>10000</v>
      </c>
      <c r="H668">
        <v>436063.06858272362</v>
      </c>
      <c r="I668">
        <v>39.308918861550708</v>
      </c>
    </row>
    <row r="669" spans="1:9" x14ac:dyDescent="0.2">
      <c r="A669">
        <v>659</v>
      </c>
      <c r="B669">
        <v>1602834.5425228332</v>
      </c>
      <c r="C669">
        <v>135538.89316273067</v>
      </c>
      <c r="D669">
        <v>90162.180088059104</v>
      </c>
      <c r="E669">
        <v>177237.8050270208</v>
      </c>
      <c r="F669">
        <v>48270.309578793749</v>
      </c>
      <c r="G669">
        <v>10000</v>
      </c>
      <c r="H669">
        <v>441209.18785660435</v>
      </c>
      <c r="I669">
        <v>40.887612004672135</v>
      </c>
    </row>
    <row r="670" spans="1:9" x14ac:dyDescent="0.2">
      <c r="A670">
        <v>660</v>
      </c>
      <c r="B670">
        <v>968448.26390372834</v>
      </c>
      <c r="C670">
        <v>107163.48074369381</v>
      </c>
      <c r="D670">
        <v>75030.937273331016</v>
      </c>
      <c r="E670">
        <v>55322.856273372672</v>
      </c>
      <c r="F670">
        <v>39830.043895848874</v>
      </c>
      <c r="G670">
        <v>10000</v>
      </c>
      <c r="H670">
        <v>267347.31818624632</v>
      </c>
      <c r="I670">
        <v>27.872949711914835</v>
      </c>
    </row>
    <row r="671" spans="1:9" x14ac:dyDescent="0.2">
      <c r="A671">
        <v>661</v>
      </c>
      <c r="B671">
        <v>1159045.3300651466</v>
      </c>
      <c r="C671">
        <v>101531.48097947362</v>
      </c>
      <c r="D671">
        <v>58116.832779504635</v>
      </c>
      <c r="E671">
        <v>125262.60088165307</v>
      </c>
      <c r="F671">
        <v>44672.02621488367</v>
      </c>
      <c r="G671">
        <v>10000</v>
      </c>
      <c r="H671">
        <v>319582.94085551501</v>
      </c>
      <c r="I671">
        <v>34.399192733695941</v>
      </c>
    </row>
    <row r="672" spans="1:9" x14ac:dyDescent="0.2">
      <c r="A672">
        <v>662</v>
      </c>
      <c r="B672">
        <v>1262404.7457954511</v>
      </c>
      <c r="C672">
        <v>94028.711904206444</v>
      </c>
      <c r="D672">
        <v>113233.81788183522</v>
      </c>
      <c r="E672">
        <v>107224.19910213759</v>
      </c>
      <c r="F672">
        <v>43423.213783994135</v>
      </c>
      <c r="G672">
        <v>10000</v>
      </c>
      <c r="H672">
        <v>347909.94267217338</v>
      </c>
      <c r="I672">
        <v>54.272299478336805</v>
      </c>
    </row>
    <row r="673" spans="1:9" x14ac:dyDescent="0.2">
      <c r="A673">
        <v>663</v>
      </c>
      <c r="B673">
        <v>1171712.6978074245</v>
      </c>
      <c r="C673">
        <v>93983.350968231054</v>
      </c>
      <c r="D673">
        <v>75530.227300690414</v>
      </c>
      <c r="E673">
        <v>119282.96895322557</v>
      </c>
      <c r="F673">
        <v>44258.051696761766</v>
      </c>
      <c r="G673">
        <v>10000</v>
      </c>
      <c r="H673">
        <v>323054.5989189088</v>
      </c>
      <c r="I673">
        <v>40.426724085774261</v>
      </c>
    </row>
    <row r="674" spans="1:9" x14ac:dyDescent="0.2">
      <c r="A674">
        <v>664</v>
      </c>
      <c r="B674">
        <v>1588577.4630016438</v>
      </c>
      <c r="C674">
        <v>134438.05716412497</v>
      </c>
      <c r="D674">
        <v>117150.76985059239</v>
      </c>
      <c r="E674">
        <v>149371.89055668109</v>
      </c>
      <c r="F674">
        <v>46341.13088469331</v>
      </c>
      <c r="G674">
        <v>10000</v>
      </c>
      <c r="H674">
        <v>437301.84845609177</v>
      </c>
      <c r="I674">
        <v>31.413690429301614</v>
      </c>
    </row>
    <row r="675" spans="1:9" x14ac:dyDescent="0.2">
      <c r="A675">
        <v>665</v>
      </c>
      <c r="B675">
        <v>1260505.8117455607</v>
      </c>
      <c r="C675">
        <v>80707.99958009526</v>
      </c>
      <c r="D675">
        <v>69253.494020179103</v>
      </c>
      <c r="E675">
        <v>160328.36526408</v>
      </c>
      <c r="F675">
        <v>47099.656056743996</v>
      </c>
      <c r="G675">
        <v>10000</v>
      </c>
      <c r="H675">
        <v>347389.51492109837</v>
      </c>
      <c r="I675">
        <v>49.296629835997003</v>
      </c>
    </row>
    <row r="676" spans="1:9" x14ac:dyDescent="0.2">
      <c r="A676">
        <v>666</v>
      </c>
      <c r="B676">
        <v>1293119.2820002469</v>
      </c>
      <c r="C676">
        <v>96504.73225749722</v>
      </c>
      <c r="D676">
        <v>74396.359971877973</v>
      </c>
      <c r="E676">
        <v>149103.98766701674</v>
      </c>
      <c r="F676">
        <v>46322.583761562702</v>
      </c>
      <c r="G676">
        <v>10000</v>
      </c>
      <c r="H676">
        <v>356327.66365795466</v>
      </c>
      <c r="I676">
        <v>24.934102539255875</v>
      </c>
    </row>
    <row r="677" spans="1:9" x14ac:dyDescent="0.2">
      <c r="A677">
        <v>667</v>
      </c>
      <c r="B677">
        <v>1791545.6620052862</v>
      </c>
      <c r="C677">
        <v>114369.35210862402</v>
      </c>
      <c r="D677">
        <v>156501.05596066843</v>
      </c>
      <c r="E677">
        <v>183363.16135541216</v>
      </c>
      <c r="F677">
        <v>48694.372709220843</v>
      </c>
      <c r="G677">
        <v>10000</v>
      </c>
      <c r="H677">
        <v>492927.94213392545</v>
      </c>
      <c r="I677">
        <v>38.881378949960428</v>
      </c>
    </row>
    <row r="678" spans="1:9" x14ac:dyDescent="0.2">
      <c r="A678">
        <v>668</v>
      </c>
      <c r="B678">
        <v>932099.66888478969</v>
      </c>
      <c r="C678">
        <v>99102.679327433885</v>
      </c>
      <c r="D678">
        <v>49749.000175703986</v>
      </c>
      <c r="E678">
        <v>77189.913021745422</v>
      </c>
      <c r="F678">
        <v>41343.917055351609</v>
      </c>
      <c r="G678">
        <v>10000</v>
      </c>
      <c r="H678">
        <v>257385.50958023494</v>
      </c>
      <c r="I678">
        <v>34.086970808126594</v>
      </c>
    </row>
    <row r="679" spans="1:9" x14ac:dyDescent="0.2">
      <c r="A679">
        <v>669</v>
      </c>
      <c r="B679">
        <v>1291935.2326666042</v>
      </c>
      <c r="C679">
        <v>102203.05264846382</v>
      </c>
      <c r="D679">
        <v>50124.094179802749</v>
      </c>
      <c r="E679">
        <v>166171.81034493892</v>
      </c>
      <c r="F679">
        <v>47504.202254649623</v>
      </c>
      <c r="G679">
        <v>10000</v>
      </c>
      <c r="H679">
        <v>356003.15942785505</v>
      </c>
      <c r="I679">
        <v>34.621445042620273</v>
      </c>
    </row>
    <row r="680" spans="1:9" x14ac:dyDescent="0.2">
      <c r="A680">
        <v>670</v>
      </c>
      <c r="B680">
        <v>1407366.2875807809</v>
      </c>
      <c r="C680">
        <v>105105.32281762066</v>
      </c>
      <c r="D680">
        <v>71373.704057986164</v>
      </c>
      <c r="E680">
        <v>173170.77898015582</v>
      </c>
      <c r="F680">
        <v>47988.746237087711</v>
      </c>
      <c r="G680">
        <v>10000</v>
      </c>
      <c r="H680">
        <v>387638.55209285038</v>
      </c>
      <c r="I680">
        <v>49.292766104835131</v>
      </c>
    </row>
    <row r="681" spans="1:9" x14ac:dyDescent="0.2">
      <c r="A681">
        <v>671</v>
      </c>
      <c r="B681">
        <v>1649569.4206408421</v>
      </c>
      <c r="C681">
        <v>106623.14036347938</v>
      </c>
      <c r="D681">
        <v>99391.022643505843</v>
      </c>
      <c r="E681">
        <v>207629.01403563312</v>
      </c>
      <c r="F681">
        <v>50374.316356313058</v>
      </c>
      <c r="G681">
        <v>10000</v>
      </c>
      <c r="H681">
        <v>454017.4933989314</v>
      </c>
      <c r="I681">
        <v>43.659086079576284</v>
      </c>
    </row>
    <row r="682" spans="1:9" x14ac:dyDescent="0.2">
      <c r="A682">
        <v>672</v>
      </c>
      <c r="B682">
        <v>1284371.2444518614</v>
      </c>
      <c r="C682">
        <v>118158.77389161254</v>
      </c>
      <c r="D682">
        <v>133551.6768470699</v>
      </c>
      <c r="E682">
        <v>71284.610235096712</v>
      </c>
      <c r="F682">
        <v>40935.088400891305</v>
      </c>
      <c r="G682">
        <v>10000</v>
      </c>
      <c r="H682">
        <v>353930.14937467047</v>
      </c>
      <c r="I682">
        <v>42.82620227946488</v>
      </c>
    </row>
    <row r="683" spans="1:9" x14ac:dyDescent="0.2">
      <c r="A683">
        <v>673</v>
      </c>
      <c r="B683">
        <v>891276.91910025652</v>
      </c>
      <c r="C683">
        <v>88401.119325415275</v>
      </c>
      <c r="D683">
        <v>49395.113526834488</v>
      </c>
      <c r="E683">
        <v>77065.933539733771</v>
      </c>
      <c r="F683">
        <v>41335.333860443112</v>
      </c>
      <c r="G683">
        <v>10000</v>
      </c>
      <c r="H683">
        <v>246197.50025242663</v>
      </c>
      <c r="I683">
        <v>32.552847615530126</v>
      </c>
    </row>
    <row r="684" spans="1:9" x14ac:dyDescent="0.2">
      <c r="A684">
        <v>674</v>
      </c>
      <c r="B684">
        <v>1355807.6433103308</v>
      </c>
      <c r="C684">
        <v>143299.01419907366</v>
      </c>
      <c r="D684">
        <v>66223.589909581395</v>
      </c>
      <c r="E684">
        <v>129051.30502287412</v>
      </c>
      <c r="F684">
        <v>44934.321116968211</v>
      </c>
      <c r="G684">
        <v>10000</v>
      </c>
      <c r="H684">
        <v>373508.23024849739</v>
      </c>
      <c r="I684">
        <v>32.70176091685515</v>
      </c>
    </row>
    <row r="685" spans="1:9" x14ac:dyDescent="0.2">
      <c r="A685">
        <v>675</v>
      </c>
      <c r="B685">
        <v>1608640.1035510725</v>
      </c>
      <c r="C685">
        <v>129034.68306475201</v>
      </c>
      <c r="D685">
        <v>66476.591327003625</v>
      </c>
      <c r="E685">
        <v>206960.93853772213</v>
      </c>
      <c r="F685">
        <v>50328.064975688452</v>
      </c>
      <c r="G685">
        <v>10000</v>
      </c>
      <c r="H685">
        <v>442800.27790516627</v>
      </c>
      <c r="I685">
        <v>30.005165651842837</v>
      </c>
    </row>
    <row r="686" spans="1:9" x14ac:dyDescent="0.2">
      <c r="A686">
        <v>676</v>
      </c>
      <c r="B686">
        <v>1490828.58459386</v>
      </c>
      <c r="C686">
        <v>92881.083556657497</v>
      </c>
      <c r="D686">
        <v>132811.7723230155</v>
      </c>
      <c r="E686">
        <v>148536.34648145712</v>
      </c>
      <c r="F686">
        <v>46283.285525639338</v>
      </c>
      <c r="G686">
        <v>10000</v>
      </c>
      <c r="H686">
        <v>410512.48788676946</v>
      </c>
      <c r="I686">
        <v>33.472552452821859</v>
      </c>
    </row>
    <row r="687" spans="1:9" x14ac:dyDescent="0.2">
      <c r="A687">
        <v>677</v>
      </c>
      <c r="B687">
        <v>1690571.4453428807</v>
      </c>
      <c r="C687">
        <v>106368.52445628242</v>
      </c>
      <c r="D687">
        <v>149893.03198806482</v>
      </c>
      <c r="E687">
        <v>171144.60618595939</v>
      </c>
      <c r="F687">
        <v>47848.472735951036</v>
      </c>
      <c r="G687">
        <v>10000</v>
      </c>
      <c r="H687">
        <v>465254.63536625769</v>
      </c>
      <c r="I687">
        <v>27.435927086770025</v>
      </c>
    </row>
    <row r="688" spans="1:9" x14ac:dyDescent="0.2">
      <c r="A688">
        <v>678</v>
      </c>
      <c r="B688">
        <v>898607.24246219499</v>
      </c>
      <c r="C688">
        <v>104810.45318696689</v>
      </c>
      <c r="D688">
        <v>83383.222271655279</v>
      </c>
      <c r="E688">
        <v>31810.528570649083</v>
      </c>
      <c r="F688">
        <v>38202.2673625834</v>
      </c>
      <c r="G688">
        <v>10000</v>
      </c>
      <c r="H688">
        <v>248206.47139185466</v>
      </c>
      <c r="I688">
        <v>39.055817837565215</v>
      </c>
    </row>
    <row r="689" spans="1:9" x14ac:dyDescent="0.2">
      <c r="A689">
        <v>679</v>
      </c>
      <c r="B689">
        <v>1363077.5130516426</v>
      </c>
      <c r="C689">
        <v>112991.05013925914</v>
      </c>
      <c r="D689">
        <v>83746.920057686279</v>
      </c>
      <c r="E689">
        <v>142871.55540262692</v>
      </c>
      <c r="F689">
        <v>45891.107681720328</v>
      </c>
      <c r="G689">
        <v>10000</v>
      </c>
      <c r="H689">
        <v>375500.63328129268</v>
      </c>
      <c r="I689">
        <v>53.517729448409064</v>
      </c>
    </row>
    <row r="690" spans="1:9" x14ac:dyDescent="0.2">
      <c r="A690">
        <v>680</v>
      </c>
      <c r="B690">
        <v>1184009.0263710378</v>
      </c>
      <c r="C690">
        <v>96203.232295864829</v>
      </c>
      <c r="D690">
        <v>94736.260655975129</v>
      </c>
      <c r="E690">
        <v>102396.1141353641</v>
      </c>
      <c r="F690">
        <v>43088.961747832902</v>
      </c>
      <c r="G690">
        <v>10000</v>
      </c>
      <c r="H690">
        <v>326424.56883503695</v>
      </c>
      <c r="I690">
        <v>36.858613368020187</v>
      </c>
    </row>
    <row r="691" spans="1:9" x14ac:dyDescent="0.2">
      <c r="A691">
        <v>681</v>
      </c>
      <c r="B691">
        <v>1011035.2970614054</v>
      </c>
      <c r="C691">
        <v>102379.58960391897</v>
      </c>
      <c r="D691">
        <v>120826.20766421194</v>
      </c>
      <c r="E691">
        <v>27882.713510625355</v>
      </c>
      <c r="F691">
        <v>37930.341704581755</v>
      </c>
      <c r="G691">
        <v>10000</v>
      </c>
      <c r="H691">
        <v>279018.85248333804</v>
      </c>
      <c r="I691">
        <v>32.651120076436058</v>
      </c>
    </row>
    <row r="692" spans="1:9" x14ac:dyDescent="0.2">
      <c r="A692">
        <v>682</v>
      </c>
      <c r="B692">
        <v>1130675.7486278829</v>
      </c>
      <c r="C692">
        <v>95586.46697646605</v>
      </c>
      <c r="D692">
        <v>99520.439253881443</v>
      </c>
      <c r="E692">
        <v>84828.253938054753</v>
      </c>
      <c r="F692">
        <v>41872.725272634561</v>
      </c>
      <c r="G692">
        <v>10000</v>
      </c>
      <c r="H692">
        <v>311807.88544103678</v>
      </c>
      <c r="I692">
        <v>42.912285619660551</v>
      </c>
    </row>
    <row r="693" spans="1:9" x14ac:dyDescent="0.2">
      <c r="A693">
        <v>683</v>
      </c>
      <c r="B693">
        <v>1663027.3149883982</v>
      </c>
      <c r="C693">
        <v>131426.76503892418</v>
      </c>
      <c r="D693">
        <v>93052.709122347122</v>
      </c>
      <c r="E693">
        <v>193808.79921895402</v>
      </c>
      <c r="F693">
        <v>49417.532253619887</v>
      </c>
      <c r="G693">
        <v>10000</v>
      </c>
      <c r="H693">
        <v>457705.80563384516</v>
      </c>
      <c r="I693">
        <v>32.094681106910478</v>
      </c>
    </row>
    <row r="694" spans="1:9" x14ac:dyDescent="0.2">
      <c r="A694">
        <v>684</v>
      </c>
      <c r="B694">
        <v>1778860.9897302974</v>
      </c>
      <c r="C694">
        <v>139926.390821348</v>
      </c>
      <c r="D694">
        <v>118017.24936106932</v>
      </c>
      <c r="E694">
        <v>192201.63436008769</v>
      </c>
      <c r="F694">
        <v>49306.266994159916</v>
      </c>
      <c r="G694">
        <v>10000</v>
      </c>
      <c r="H694">
        <v>489451.54153666494</v>
      </c>
      <c r="I694">
        <v>27.162695886668914</v>
      </c>
    </row>
    <row r="695" spans="1:9" x14ac:dyDescent="0.2">
      <c r="A695">
        <v>685</v>
      </c>
      <c r="B695">
        <v>1169796.4255071403</v>
      </c>
      <c r="C695">
        <v>74226.4861844111</v>
      </c>
      <c r="D695">
        <v>25499.99487907454</v>
      </c>
      <c r="E695">
        <v>184060.30203497942</v>
      </c>
      <c r="F695">
        <v>48742.636294729346</v>
      </c>
      <c r="G695">
        <v>10000</v>
      </c>
      <c r="H695">
        <v>322529.41939319443</v>
      </c>
      <c r="I695">
        <v>31.189612134390849</v>
      </c>
    </row>
    <row r="696" spans="1:9" x14ac:dyDescent="0.2">
      <c r="A696">
        <v>686</v>
      </c>
      <c r="B696">
        <v>1262512.7897298101</v>
      </c>
      <c r="C696">
        <v>140080.9692629058</v>
      </c>
      <c r="D696">
        <v>50102.324431308392</v>
      </c>
      <c r="E696">
        <v>123225.27898094314</v>
      </c>
      <c r="F696">
        <v>44530.980852526831</v>
      </c>
      <c r="G696">
        <v>10000</v>
      </c>
      <c r="H696">
        <v>347939.55352768418</v>
      </c>
      <c r="I696">
        <v>44.174335335091961</v>
      </c>
    </row>
    <row r="697" spans="1:9" x14ac:dyDescent="0.2">
      <c r="A697">
        <v>687</v>
      </c>
      <c r="B697">
        <v>875178.3871393943</v>
      </c>
      <c r="C697">
        <v>91271.19768420831</v>
      </c>
      <c r="D697">
        <v>54536.012449880785</v>
      </c>
      <c r="E697">
        <v>65447.309008272197</v>
      </c>
      <c r="F697">
        <v>40530.967546726533</v>
      </c>
      <c r="G697">
        <v>10000</v>
      </c>
      <c r="H697">
        <v>241785.48668908782</v>
      </c>
      <c r="I697">
        <v>31.858104871505706</v>
      </c>
    </row>
    <row r="698" spans="1:9" x14ac:dyDescent="0.2">
      <c r="A698">
        <v>688</v>
      </c>
      <c r="B698">
        <v>1494036.0275906548</v>
      </c>
      <c r="C698">
        <v>130088.76868762769</v>
      </c>
      <c r="D698">
        <v>51551.468870791112</v>
      </c>
      <c r="E698">
        <v>190558.76239275918</v>
      </c>
      <c r="F698">
        <v>49192.529704114095</v>
      </c>
      <c r="G698">
        <v>10000</v>
      </c>
      <c r="H698">
        <v>411391.52965529205</v>
      </c>
      <c r="I698">
        <v>48.946694273560219</v>
      </c>
    </row>
    <row r="699" spans="1:9" x14ac:dyDescent="0.2">
      <c r="A699">
        <v>689</v>
      </c>
      <c r="B699">
        <v>1070717.0485038143</v>
      </c>
      <c r="C699">
        <v>110333.60198818838</v>
      </c>
      <c r="D699">
        <v>86255.110545677264</v>
      </c>
      <c r="E699">
        <v>68073.897437187712</v>
      </c>
      <c r="F699">
        <v>40712.808284113002</v>
      </c>
      <c r="G699">
        <v>10000</v>
      </c>
      <c r="H699">
        <v>295375.41825516638</v>
      </c>
      <c r="I699">
        <v>44.512745248533108</v>
      </c>
    </row>
    <row r="700" spans="1:9" x14ac:dyDescent="0.2">
      <c r="A700">
        <v>690</v>
      </c>
      <c r="B700">
        <v>1435856.8558901353</v>
      </c>
      <c r="C700">
        <v>122660.52751988052</v>
      </c>
      <c r="D700">
        <v>57598.546147851805</v>
      </c>
      <c r="E700">
        <v>176938.12909334997</v>
      </c>
      <c r="F700">
        <v>48249.562783385772</v>
      </c>
      <c r="G700">
        <v>10000</v>
      </c>
      <c r="H700">
        <v>395446.76554446807</v>
      </c>
      <c r="I700">
        <v>34.992114462772378</v>
      </c>
    </row>
    <row r="701" spans="1:9" x14ac:dyDescent="0.2">
      <c r="A701">
        <v>691</v>
      </c>
      <c r="B701">
        <v>853563.34614593652</v>
      </c>
      <c r="C701">
        <v>117721.83214362859</v>
      </c>
      <c r="D701">
        <v>50932.933337321061</v>
      </c>
      <c r="E701">
        <v>38538.767558725463</v>
      </c>
      <c r="F701">
        <v>38668.068523296381</v>
      </c>
      <c r="G701">
        <v>10000</v>
      </c>
      <c r="H701">
        <v>235861.60156297151</v>
      </c>
      <c r="I701">
        <v>33.47624302762167</v>
      </c>
    </row>
    <row r="702" spans="1:9" x14ac:dyDescent="0.2">
      <c r="A702">
        <v>692</v>
      </c>
      <c r="B702">
        <v>1411516.5823195889</v>
      </c>
      <c r="C702">
        <v>147336.52194880845</v>
      </c>
      <c r="D702">
        <v>85026.329030674664</v>
      </c>
      <c r="E702">
        <v>121969.12725052492</v>
      </c>
      <c r="F702">
        <v>44444.016501959421</v>
      </c>
      <c r="G702">
        <v>10000</v>
      </c>
      <c r="H702">
        <v>388775.99473196745</v>
      </c>
      <c r="I702">
        <v>40.337715020806883</v>
      </c>
    </row>
    <row r="703" spans="1:9" x14ac:dyDescent="0.2">
      <c r="A703">
        <v>693</v>
      </c>
      <c r="B703">
        <v>1116070.7806807142</v>
      </c>
      <c r="C703">
        <v>88878.779597416025</v>
      </c>
      <c r="D703">
        <v>117984.56983589446</v>
      </c>
      <c r="E703">
        <v>70089.503018038929</v>
      </c>
      <c r="F703">
        <v>40852.350208941156</v>
      </c>
      <c r="G703">
        <v>10000</v>
      </c>
      <c r="H703">
        <v>307805.20266029058</v>
      </c>
      <c r="I703">
        <v>48.760484049974984</v>
      </c>
    </row>
    <row r="704" spans="1:9" x14ac:dyDescent="0.2">
      <c r="A704">
        <v>694</v>
      </c>
      <c r="B704">
        <v>1073145.4198807499</v>
      </c>
      <c r="C704">
        <v>99871.63076748923</v>
      </c>
      <c r="D704">
        <v>97451.662481048552</v>
      </c>
      <c r="E704">
        <v>68009.314813071178</v>
      </c>
      <c r="F704">
        <v>40708.337179366463</v>
      </c>
      <c r="G704">
        <v>10000</v>
      </c>
      <c r="H704">
        <v>296040.94524097542</v>
      </c>
      <c r="I704">
        <v>30.959807753126334</v>
      </c>
    </row>
    <row r="705" spans="1:9" x14ac:dyDescent="0.2">
      <c r="A705">
        <v>695</v>
      </c>
      <c r="B705">
        <v>1656050.7379326089</v>
      </c>
      <c r="C705">
        <v>137065.67551379604</v>
      </c>
      <c r="D705">
        <v>80107.495542711593</v>
      </c>
      <c r="E705">
        <v>198853.81001512185</v>
      </c>
      <c r="F705">
        <v>49766.802231816131</v>
      </c>
      <c r="G705">
        <v>10000</v>
      </c>
      <c r="H705">
        <v>455793.78330344555</v>
      </c>
      <c r="I705">
        <v>45.630310186962802</v>
      </c>
    </row>
    <row r="706" spans="1:9" x14ac:dyDescent="0.2">
      <c r="A706">
        <v>696</v>
      </c>
      <c r="B706">
        <v>1226075.0383585209</v>
      </c>
      <c r="C706">
        <v>106530.12319016174</v>
      </c>
      <c r="D706">
        <v>35165.530992435139</v>
      </c>
      <c r="E706">
        <v>159233.77924796919</v>
      </c>
      <c r="F706">
        <v>47023.877024859408</v>
      </c>
      <c r="G706">
        <v>10000</v>
      </c>
      <c r="H706">
        <v>337953.31045542553</v>
      </c>
      <c r="I706">
        <v>32.359769265570094</v>
      </c>
    </row>
    <row r="707" spans="1:9" x14ac:dyDescent="0.2">
      <c r="A707">
        <v>697</v>
      </c>
      <c r="B707">
        <v>1764129.229456774</v>
      </c>
      <c r="C707">
        <v>137722.69554359332</v>
      </c>
      <c r="D707">
        <v>132241.22871818228</v>
      </c>
      <c r="E707">
        <v>177183.62662955376</v>
      </c>
      <c r="F707">
        <v>48266.558766661408</v>
      </c>
      <c r="G707">
        <v>10000</v>
      </c>
      <c r="H707">
        <v>485414.10965799069</v>
      </c>
      <c r="I707">
        <v>31.33181384257502</v>
      </c>
    </row>
    <row r="708" spans="1:9" x14ac:dyDescent="0.2">
      <c r="A708">
        <v>698</v>
      </c>
      <c r="B708">
        <v>1276566.6257657313</v>
      </c>
      <c r="C708">
        <v>115315.35080134693</v>
      </c>
      <c r="D708">
        <v>53682.998188516147</v>
      </c>
      <c r="E708">
        <v>146640.78785503859</v>
      </c>
      <c r="F708">
        <v>46152.054543810365</v>
      </c>
      <c r="G708">
        <v>10000</v>
      </c>
      <c r="H708">
        <v>351791.19138871203</v>
      </c>
      <c r="I708">
        <v>44.497511003817763</v>
      </c>
    </row>
    <row r="709" spans="1:9" x14ac:dyDescent="0.2">
      <c r="A709">
        <v>699</v>
      </c>
      <c r="B709">
        <v>1282960.6632038816</v>
      </c>
      <c r="C709">
        <v>76228.266321361283</v>
      </c>
      <c r="D709">
        <v>65793.445338293488</v>
      </c>
      <c r="E709">
        <v>173509.64336712079</v>
      </c>
      <c r="F709">
        <v>48012.206079262214</v>
      </c>
      <c r="G709">
        <v>10000</v>
      </c>
      <c r="H709">
        <v>353543.56110603776</v>
      </c>
      <c r="I709">
        <v>33.389787712237961</v>
      </c>
    </row>
    <row r="710" spans="1:9" x14ac:dyDescent="0.2">
      <c r="A710">
        <v>700</v>
      </c>
      <c r="B710">
        <v>1135895.8673026399</v>
      </c>
      <c r="C710">
        <v>129931.60995199575</v>
      </c>
      <c r="D710">
        <v>103163.88857335232</v>
      </c>
      <c r="E710">
        <v>50637.365081952164</v>
      </c>
      <c r="F710">
        <v>39505.663736442846</v>
      </c>
      <c r="G710">
        <v>10000</v>
      </c>
      <c r="H710">
        <v>313238.52734374313</v>
      </c>
      <c r="I710">
        <v>35.437742562579778</v>
      </c>
    </row>
    <row r="711" spans="1:9" x14ac:dyDescent="0.2">
      <c r="A711">
        <v>701</v>
      </c>
      <c r="B711">
        <v>1655710.173758273</v>
      </c>
      <c r="C711">
        <v>128969.9835104519</v>
      </c>
      <c r="D711">
        <v>98875.586457036916</v>
      </c>
      <c r="E711">
        <v>188785.13700840072</v>
      </c>
      <c r="F711">
        <v>49069.740254427743</v>
      </c>
      <c r="G711">
        <v>10000</v>
      </c>
      <c r="H711">
        <v>455700.44723031728</v>
      </c>
      <c r="I711">
        <v>25.033006848699049</v>
      </c>
    </row>
    <row r="712" spans="1:9" x14ac:dyDescent="0.2">
      <c r="A712">
        <v>702</v>
      </c>
      <c r="B712">
        <v>1081099.1163394507</v>
      </c>
      <c r="C712">
        <v>120367.34342750581</v>
      </c>
      <c r="D712">
        <v>121660.39584982293</v>
      </c>
      <c r="E712">
        <v>28238.076881863271</v>
      </c>
      <c r="F712">
        <v>37954.943784128998</v>
      </c>
      <c r="G712">
        <v>10000</v>
      </c>
      <c r="H712">
        <v>298220.759943321</v>
      </c>
      <c r="I712">
        <v>44.852426254330872</v>
      </c>
    </row>
    <row r="713" spans="1:9" x14ac:dyDescent="0.2">
      <c r="A713">
        <v>703</v>
      </c>
      <c r="B713">
        <v>1196947.8111709212</v>
      </c>
      <c r="C713">
        <v>147560.23542640792</v>
      </c>
      <c r="D713">
        <v>60559.472397659527</v>
      </c>
      <c r="E713">
        <v>89644.730803370418</v>
      </c>
      <c r="F713">
        <v>42206.173671002565</v>
      </c>
      <c r="G713">
        <v>10000</v>
      </c>
      <c r="H713">
        <v>329970.61229844042</v>
      </c>
      <c r="I713">
        <v>34.94485555425404</v>
      </c>
    </row>
    <row r="714" spans="1:9" x14ac:dyDescent="0.2">
      <c r="A714">
        <v>704</v>
      </c>
      <c r="B714">
        <v>1140590.2306022844</v>
      </c>
      <c r="C714">
        <v>99250.625495079745</v>
      </c>
      <c r="D714">
        <v>104012.53769466138</v>
      </c>
      <c r="E714">
        <v>79741.360202785727</v>
      </c>
      <c r="F714">
        <v>41520.555706346706</v>
      </c>
      <c r="G714">
        <v>10000</v>
      </c>
      <c r="H714">
        <v>314525.0790988736</v>
      </c>
      <c r="I714">
        <v>49.475103579661393</v>
      </c>
    </row>
    <row r="715" spans="1:9" x14ac:dyDescent="0.2">
      <c r="A715">
        <v>705</v>
      </c>
      <c r="B715">
        <v>1594600.7489461889</v>
      </c>
      <c r="C715">
        <v>120185.35803695892</v>
      </c>
      <c r="D715">
        <v>98516.16729617145</v>
      </c>
      <c r="E715">
        <v>181673.67525031985</v>
      </c>
      <c r="F715">
        <v>48577.408286560603</v>
      </c>
      <c r="G715">
        <v>10000</v>
      </c>
      <c r="H715">
        <v>438952.60887001088</v>
      </c>
      <c r="I715">
        <v>34.584050903404076</v>
      </c>
    </row>
    <row r="716" spans="1:9" x14ac:dyDescent="0.2">
      <c r="A716">
        <v>706</v>
      </c>
      <c r="B716">
        <v>991989.2189571542</v>
      </c>
      <c r="C716">
        <v>100161.12662290776</v>
      </c>
      <c r="D716">
        <v>68896.673406203394</v>
      </c>
      <c r="E716">
        <v>73642.872544863218</v>
      </c>
      <c r="F716">
        <v>41098.352714644374</v>
      </c>
      <c r="G716">
        <v>10000</v>
      </c>
      <c r="H716">
        <v>273799.02528861875</v>
      </c>
      <c r="I716">
        <v>38.19105902298827</v>
      </c>
    </row>
    <row r="717" spans="1:9" x14ac:dyDescent="0.2">
      <c r="A717">
        <v>707</v>
      </c>
      <c r="B717">
        <v>1634492.9112093635</v>
      </c>
      <c r="C717">
        <v>89988.075892195964</v>
      </c>
      <c r="D717">
        <v>118191.19813637352</v>
      </c>
      <c r="E717">
        <v>201739.70921559111</v>
      </c>
      <c r="F717">
        <v>49966.595253387073</v>
      </c>
      <c r="G717">
        <v>10000</v>
      </c>
      <c r="H717">
        <v>449885.57849754766</v>
      </c>
      <c r="I717">
        <v>42.490085137577822</v>
      </c>
    </row>
    <row r="718" spans="1:9" x14ac:dyDescent="0.2">
      <c r="A718">
        <v>708</v>
      </c>
      <c r="B718">
        <v>1467606.4083742911</v>
      </c>
      <c r="C718">
        <v>125124.04087552431</v>
      </c>
      <c r="D718">
        <v>145859.02991379402</v>
      </c>
      <c r="E718">
        <v>100226.32961392736</v>
      </c>
      <c r="F718">
        <v>42938.745896348817</v>
      </c>
      <c r="G718">
        <v>10000</v>
      </c>
      <c r="H718">
        <v>404148.14629959443</v>
      </c>
      <c r="I718">
        <v>27.412161694905464</v>
      </c>
    </row>
    <row r="719" spans="1:9" x14ac:dyDescent="0.2">
      <c r="A719">
        <v>709</v>
      </c>
      <c r="B719">
        <v>1653030.2119663269</v>
      </c>
      <c r="C719">
        <v>122112.06267632557</v>
      </c>
      <c r="D719">
        <v>94883.613923394354</v>
      </c>
      <c r="E719">
        <v>198245.59683069488</v>
      </c>
      <c r="F719">
        <v>49724.695165201949</v>
      </c>
      <c r="G719">
        <v>10000</v>
      </c>
      <c r="H719">
        <v>454965.96859561675</v>
      </c>
      <c r="I719">
        <v>40.439262668600399</v>
      </c>
    </row>
    <row r="720" spans="1:9" x14ac:dyDescent="0.2">
      <c r="A720">
        <v>710</v>
      </c>
      <c r="B720">
        <v>1362102.3898255145</v>
      </c>
      <c r="C720">
        <v>114908.11800318198</v>
      </c>
      <c r="D720">
        <v>88094.425970383119</v>
      </c>
      <c r="E720">
        <v>136762.65986937479</v>
      </c>
      <c r="F720">
        <v>45468.184144802872</v>
      </c>
      <c r="G720">
        <v>10000</v>
      </c>
      <c r="H720">
        <v>375233.38798774278</v>
      </c>
      <c r="I720">
        <v>39.365124497028276</v>
      </c>
    </row>
    <row r="721" spans="1:9" x14ac:dyDescent="0.2">
      <c r="A721">
        <v>711</v>
      </c>
      <c r="B721">
        <v>1378370.9401774604</v>
      </c>
      <c r="C721">
        <v>94806.339353958218</v>
      </c>
      <c r="D721">
        <v>80808.720215931709</v>
      </c>
      <c r="E721">
        <v>166546.77631144359</v>
      </c>
      <c r="F721">
        <v>47530.161436946095</v>
      </c>
      <c r="G721">
        <v>10000</v>
      </c>
      <c r="H721">
        <v>379691.99731827958</v>
      </c>
      <c r="I721">
        <v>32.21581256725095</v>
      </c>
    </row>
    <row r="722" spans="1:9" x14ac:dyDescent="0.2">
      <c r="A722">
        <v>712</v>
      </c>
      <c r="B722">
        <v>839559.23770657263</v>
      </c>
      <c r="C722">
        <v>94420.074361802152</v>
      </c>
      <c r="D722">
        <v>51910.809722770078</v>
      </c>
      <c r="E722">
        <v>55827.712627040208</v>
      </c>
      <c r="F722">
        <v>39864.995489564324</v>
      </c>
      <c r="G722">
        <v>10000</v>
      </c>
      <c r="H722">
        <v>232023.59220117674</v>
      </c>
      <c r="I722">
        <v>35.956983652106061</v>
      </c>
    </row>
    <row r="723" spans="1:9" x14ac:dyDescent="0.2">
      <c r="A723">
        <v>713</v>
      </c>
      <c r="B723">
        <v>1531127.9379284556</v>
      </c>
      <c r="C723">
        <v>129032.40269562758</v>
      </c>
      <c r="D723">
        <v>54137.496377977928</v>
      </c>
      <c r="E723">
        <v>198635.46822594476</v>
      </c>
      <c r="F723">
        <v>49751.686261796174</v>
      </c>
      <c r="G723">
        <v>10000</v>
      </c>
      <c r="H723">
        <v>421557.05356134643</v>
      </c>
      <c r="I723">
        <v>37.257523209754254</v>
      </c>
    </row>
    <row r="724" spans="1:9" x14ac:dyDescent="0.2">
      <c r="A724">
        <v>714</v>
      </c>
      <c r="B724">
        <v>1825506.3731695372</v>
      </c>
      <c r="C724">
        <v>165692.91359343956</v>
      </c>
      <c r="D724">
        <v>89465.973139824375</v>
      </c>
      <c r="E724">
        <v>206762.13172928206</v>
      </c>
      <c r="F724">
        <v>50314.301427411832</v>
      </c>
      <c r="G724">
        <v>10000</v>
      </c>
      <c r="H724">
        <v>502235.31988995784</v>
      </c>
      <c r="I724">
        <v>40.360337013305426</v>
      </c>
    </row>
    <row r="725" spans="1:9" x14ac:dyDescent="0.2">
      <c r="A725">
        <v>715</v>
      </c>
      <c r="B725">
        <v>1477031.8642420867</v>
      </c>
      <c r="C725">
        <v>102799.74178732862</v>
      </c>
      <c r="D725">
        <v>57035.991427029236</v>
      </c>
      <c r="E725">
        <v>206592.99104493321</v>
      </c>
      <c r="F725">
        <v>50302.591687726148</v>
      </c>
      <c r="G725">
        <v>10000</v>
      </c>
      <c r="H725">
        <v>406731.31594701722</v>
      </c>
      <c r="I725">
        <v>41.34887298564837</v>
      </c>
    </row>
    <row r="726" spans="1:9" x14ac:dyDescent="0.2">
      <c r="A726">
        <v>716</v>
      </c>
      <c r="B726">
        <v>1543927.4257712711</v>
      </c>
      <c r="C726">
        <v>124394.98400416969</v>
      </c>
      <c r="D726">
        <v>83545.947978818251</v>
      </c>
      <c r="E726">
        <v>178749.05435379909</v>
      </c>
      <c r="F726">
        <v>48374.934532186096</v>
      </c>
      <c r="G726">
        <v>10000</v>
      </c>
      <c r="H726">
        <v>425064.92086897307</v>
      </c>
      <c r="I726">
        <v>44.020882423081133</v>
      </c>
    </row>
    <row r="727" spans="1:9" x14ac:dyDescent="0.2">
      <c r="A727">
        <v>717</v>
      </c>
      <c r="B727">
        <v>1419113.1573006473</v>
      </c>
      <c r="C727">
        <v>162013.83599117602</v>
      </c>
      <c r="D727">
        <v>91896.863077238493</v>
      </c>
      <c r="E727">
        <v>103763.60252588715</v>
      </c>
      <c r="F727">
        <v>43183.634021022954</v>
      </c>
      <c r="G727">
        <v>10000</v>
      </c>
      <c r="H727">
        <v>390857.93561532459</v>
      </c>
      <c r="I727">
        <v>28.335233005688963</v>
      </c>
    </row>
    <row r="728" spans="1:9" x14ac:dyDescent="0.2">
      <c r="A728">
        <v>718</v>
      </c>
      <c r="B728">
        <v>1685559.901510112</v>
      </c>
      <c r="C728">
        <v>124391.69793608852</v>
      </c>
      <c r="D728">
        <v>142076.47984428689</v>
      </c>
      <c r="E728">
        <v>160314.29629931576</v>
      </c>
      <c r="F728">
        <v>47098.682051491087</v>
      </c>
      <c r="G728">
        <v>10000</v>
      </c>
      <c r="H728">
        <v>463881.15613118227</v>
      </c>
      <c r="I728">
        <v>38.816009682586895</v>
      </c>
    </row>
    <row r="729" spans="1:9" x14ac:dyDescent="0.2">
      <c r="A729">
        <v>719</v>
      </c>
      <c r="B729">
        <v>1398252.6981562031</v>
      </c>
      <c r="C729">
        <v>93361.169384062159</v>
      </c>
      <c r="D729">
        <v>78027.436505000893</v>
      </c>
      <c r="E729">
        <v>175595.62728954511</v>
      </c>
      <c r="F729">
        <v>48156.620350814657</v>
      </c>
      <c r="G729">
        <v>10000</v>
      </c>
      <c r="H729">
        <v>385140.85352942278</v>
      </c>
      <c r="I729">
        <v>55.377040886952877</v>
      </c>
    </row>
    <row r="730" spans="1:9" x14ac:dyDescent="0.2">
      <c r="A730">
        <v>720</v>
      </c>
      <c r="B730">
        <v>1449631.8949783153</v>
      </c>
      <c r="C730">
        <v>93591.060128668163</v>
      </c>
      <c r="D730">
        <v>94070.861805360459</v>
      </c>
      <c r="E730">
        <v>173545.39249687988</v>
      </c>
      <c r="F730">
        <v>48014.681019014759</v>
      </c>
      <c r="G730">
        <v>10000</v>
      </c>
      <c r="H730">
        <v>399221.99544992327</v>
      </c>
      <c r="I730">
        <v>42.476441020107757</v>
      </c>
    </row>
    <row r="731" spans="1:9" x14ac:dyDescent="0.2">
      <c r="A731">
        <v>721</v>
      </c>
      <c r="B731">
        <v>1605015.9517655708</v>
      </c>
      <c r="C731">
        <v>113986.81743324391</v>
      </c>
      <c r="D731">
        <v>98354.942965785143</v>
      </c>
      <c r="E731">
        <v>190291.2608677122</v>
      </c>
      <c r="F731">
        <v>49174.010367764691</v>
      </c>
      <c r="G731">
        <v>10000</v>
      </c>
      <c r="H731">
        <v>441807.03163450595</v>
      </c>
      <c r="I731">
        <v>37.692406726591635</v>
      </c>
    </row>
    <row r="732" spans="1:9" x14ac:dyDescent="0.2">
      <c r="A732">
        <v>722</v>
      </c>
      <c r="B732">
        <v>1279808.4008555373</v>
      </c>
      <c r="C732">
        <v>119187.18315249203</v>
      </c>
      <c r="D732">
        <v>128994.23928119754</v>
      </c>
      <c r="E732">
        <v>73415.601329762198</v>
      </c>
      <c r="F732">
        <v>41082.618553598928</v>
      </c>
      <c r="G732">
        <v>10000</v>
      </c>
      <c r="H732">
        <v>352679.64231705072</v>
      </c>
      <c r="I732">
        <v>40.46900935177289</v>
      </c>
    </row>
    <row r="733" spans="1:9" x14ac:dyDescent="0.2">
      <c r="A733">
        <v>723</v>
      </c>
      <c r="B733">
        <v>922710.59205131931</v>
      </c>
      <c r="C733">
        <v>120609.88187952926</v>
      </c>
      <c r="D733">
        <v>43937.17631436955</v>
      </c>
      <c r="E733">
        <v>60104.192414930156</v>
      </c>
      <c r="F733">
        <v>40161.059474879781</v>
      </c>
      <c r="G733">
        <v>10000</v>
      </c>
      <c r="H733">
        <v>254812.31008370873</v>
      </c>
      <c r="I733">
        <v>33.851275990994935</v>
      </c>
    </row>
    <row r="734" spans="1:9" x14ac:dyDescent="0.2">
      <c r="A734">
        <v>724</v>
      </c>
      <c r="B734">
        <v>1436749.1800767928</v>
      </c>
      <c r="C734">
        <v>164300.46385550674</v>
      </c>
      <c r="D734">
        <v>83187.889270144617</v>
      </c>
      <c r="E734">
        <v>114290.54332107029</v>
      </c>
      <c r="F734">
        <v>43912.422229920245</v>
      </c>
      <c r="G734">
        <v>10000</v>
      </c>
      <c r="H734">
        <v>395691.31867664185</v>
      </c>
      <c r="I734">
        <v>38.779295452713733</v>
      </c>
    </row>
    <row r="735" spans="1:9" x14ac:dyDescent="0.2">
      <c r="A735">
        <v>725</v>
      </c>
      <c r="B735">
        <v>1547520.4517262632</v>
      </c>
      <c r="C735">
        <v>146955.75565811674</v>
      </c>
      <c r="D735">
        <v>49380.479881974272</v>
      </c>
      <c r="E735">
        <v>190523.32482399579</v>
      </c>
      <c r="F735">
        <v>49190.076333968937</v>
      </c>
      <c r="G735">
        <v>10000</v>
      </c>
      <c r="H735">
        <v>426049.63669805572</v>
      </c>
      <c r="I735">
        <v>34.487059831978655</v>
      </c>
    </row>
    <row r="736" spans="1:9" x14ac:dyDescent="0.2">
      <c r="A736">
        <v>726</v>
      </c>
      <c r="B736">
        <v>1278564.335155217</v>
      </c>
      <c r="C736">
        <v>78763.61967452259</v>
      </c>
      <c r="D736">
        <v>76594.145248248038</v>
      </c>
      <c r="E736">
        <v>159910.21752556573</v>
      </c>
      <c r="F736">
        <v>47070.707367154551</v>
      </c>
      <c r="G736">
        <v>10000</v>
      </c>
      <c r="H736">
        <v>352338.68981549086</v>
      </c>
      <c r="I736">
        <v>46.388182957281785</v>
      </c>
    </row>
    <row r="737" spans="1:9" x14ac:dyDescent="0.2">
      <c r="A737">
        <v>727</v>
      </c>
      <c r="B737">
        <v>893506.59766730119</v>
      </c>
      <c r="C737">
        <v>99615.561926871917</v>
      </c>
      <c r="D737">
        <v>59977.789023183497</v>
      </c>
      <c r="E737">
        <v>57251.646400835532</v>
      </c>
      <c r="F737">
        <v>39963.575520057842</v>
      </c>
      <c r="G737">
        <v>10000</v>
      </c>
      <c r="H737">
        <v>246808.57287094879</v>
      </c>
      <c r="I737">
        <v>32.967191729421373</v>
      </c>
    </row>
    <row r="738" spans="1:9" x14ac:dyDescent="0.2">
      <c r="A738">
        <v>728</v>
      </c>
      <c r="B738">
        <v>1223166.9799036745</v>
      </c>
      <c r="C738">
        <v>138111.18601961932</v>
      </c>
      <c r="D738">
        <v>72913.89172966966</v>
      </c>
      <c r="E738">
        <v>93647.923417971804</v>
      </c>
      <c r="F738">
        <v>42483.317775090356</v>
      </c>
      <c r="G738">
        <v>10000</v>
      </c>
      <c r="H738">
        <v>337156.31894235115</v>
      </c>
      <c r="I738">
        <v>33.320763287787976</v>
      </c>
    </row>
    <row r="739" spans="1:9" x14ac:dyDescent="0.2">
      <c r="A739">
        <v>729</v>
      </c>
      <c r="B739">
        <v>1515067.2178182756</v>
      </c>
      <c r="C739">
        <v>117219.27780115351</v>
      </c>
      <c r="D739">
        <v>138180.12386318852</v>
      </c>
      <c r="E739">
        <v>126966.04425658262</v>
      </c>
      <c r="F739">
        <v>44789.956910071101</v>
      </c>
      <c r="G739">
        <v>10000</v>
      </c>
      <c r="H739">
        <v>417155.40283099574</v>
      </c>
      <c r="I739">
        <v>45.77601778827308</v>
      </c>
    </row>
    <row r="740" spans="1:9" x14ac:dyDescent="0.2">
      <c r="A740">
        <v>730</v>
      </c>
      <c r="B740">
        <v>1539521.1209273171</v>
      </c>
      <c r="C740">
        <v>133104.28682465453</v>
      </c>
      <c r="D740">
        <v>71268.191487337361</v>
      </c>
      <c r="E740">
        <v>180957.04179388133</v>
      </c>
      <c r="F740">
        <v>48527.795201114866</v>
      </c>
      <c r="G740">
        <v>10000</v>
      </c>
      <c r="H740">
        <v>423857.31530698808</v>
      </c>
      <c r="I740">
        <v>37.524802287897103</v>
      </c>
    </row>
    <row r="741" spans="1:9" x14ac:dyDescent="0.2">
      <c r="A741">
        <v>731</v>
      </c>
      <c r="B741">
        <v>1476546.8286360509</v>
      </c>
      <c r="C741">
        <v>118567.12486943009</v>
      </c>
      <c r="D741">
        <v>66975.363886736508</v>
      </c>
      <c r="E741">
        <v>182426.37832964596</v>
      </c>
      <c r="F741">
        <v>48629.518499744714</v>
      </c>
      <c r="G741">
        <v>10000</v>
      </c>
      <c r="H741">
        <v>406598.38558555726</v>
      </c>
      <c r="I741">
        <v>34.921526142854702</v>
      </c>
    </row>
    <row r="742" spans="1:9" x14ac:dyDescent="0.2">
      <c r="A742">
        <v>732</v>
      </c>
      <c r="B742">
        <v>1517056.4793912857</v>
      </c>
      <c r="C742">
        <v>85303.645681851092</v>
      </c>
      <c r="D742">
        <v>86718.153860039572</v>
      </c>
      <c r="E742">
        <v>205454.98016219697</v>
      </c>
      <c r="F742">
        <v>50223.806318921335</v>
      </c>
      <c r="G742">
        <v>10000</v>
      </c>
      <c r="H742">
        <v>417700.58602300897</v>
      </c>
      <c r="I742">
        <v>33.808401327088141</v>
      </c>
    </row>
    <row r="743" spans="1:9" x14ac:dyDescent="0.2">
      <c r="A743">
        <v>733</v>
      </c>
      <c r="B743">
        <v>1372910.501946518</v>
      </c>
      <c r="C743">
        <v>106760.63924178944</v>
      </c>
      <c r="D743">
        <v>87970.029273154025</v>
      </c>
      <c r="E743">
        <v>147269.26002281415</v>
      </c>
      <c r="F743">
        <v>46195.564155425593</v>
      </c>
      <c r="G743">
        <v>10000</v>
      </c>
      <c r="H743">
        <v>378195.49269318319</v>
      </c>
      <c r="I743">
        <v>26.840907398447811</v>
      </c>
    </row>
    <row r="744" spans="1:9" x14ac:dyDescent="0.2">
      <c r="A744">
        <v>734</v>
      </c>
      <c r="B744">
        <v>1038808.7138449632</v>
      </c>
      <c r="C744">
        <v>111848.0125809397</v>
      </c>
      <c r="D744">
        <v>93117.127184756886</v>
      </c>
      <c r="E744">
        <v>52061.148071412317</v>
      </c>
      <c r="F744">
        <v>39604.233328020855</v>
      </c>
      <c r="G744">
        <v>10000</v>
      </c>
      <c r="H744">
        <v>286630.52116512979</v>
      </c>
      <c r="I744">
        <v>24.798198876096581</v>
      </c>
    </row>
    <row r="745" spans="1:9" x14ac:dyDescent="0.2">
      <c r="A745">
        <v>735</v>
      </c>
      <c r="B745">
        <v>1235154.4712404064</v>
      </c>
      <c r="C745">
        <v>132634.32360929079</v>
      </c>
      <c r="D745">
        <v>57924.309203436329</v>
      </c>
      <c r="E745">
        <v>115861.81273786095</v>
      </c>
      <c r="F745">
        <v>44021.20242031345</v>
      </c>
      <c r="G745">
        <v>10000</v>
      </c>
      <c r="H745">
        <v>340441.64797090151</v>
      </c>
      <c r="I745">
        <v>36.669715619777598</v>
      </c>
    </row>
    <row r="746" spans="1:9" x14ac:dyDescent="0.2">
      <c r="A746">
        <v>736</v>
      </c>
      <c r="B746">
        <v>1363525.4741926722</v>
      </c>
      <c r="C746">
        <v>95608.799143716678</v>
      </c>
      <c r="D746">
        <v>104668.93031499804</v>
      </c>
      <c r="E746">
        <v>139675.80969325866</v>
      </c>
      <c r="F746">
        <v>45669.863747994823</v>
      </c>
      <c r="G746">
        <v>10000</v>
      </c>
      <c r="H746">
        <v>375623.40289996821</v>
      </c>
      <c r="I746">
        <v>25.055636029375034</v>
      </c>
    </row>
    <row r="747" spans="1:9" x14ac:dyDescent="0.2">
      <c r="A747">
        <v>737</v>
      </c>
      <c r="B747">
        <v>1297396.1591643468</v>
      </c>
      <c r="C747">
        <v>156758.69615859591</v>
      </c>
      <c r="D747">
        <v>63987.123374000737</v>
      </c>
      <c r="E747">
        <v>103582.85743679677</v>
      </c>
      <c r="F747">
        <v>43171.120899470545</v>
      </c>
      <c r="G747">
        <v>10000</v>
      </c>
      <c r="H747">
        <v>357499.79786886391</v>
      </c>
      <c r="I747">
        <v>27.151102837177611</v>
      </c>
    </row>
    <row r="748" spans="1:9" x14ac:dyDescent="0.2">
      <c r="A748">
        <v>738</v>
      </c>
      <c r="B748">
        <v>1544595.6657283655</v>
      </c>
      <c r="C748">
        <v>160939.89721764252</v>
      </c>
      <c r="D748">
        <v>81462.280043362582</v>
      </c>
      <c r="E748">
        <v>146690.39466056766</v>
      </c>
      <c r="F748">
        <v>46155.488861116224</v>
      </c>
      <c r="G748">
        <v>10000</v>
      </c>
      <c r="H748">
        <v>425248.06078268902</v>
      </c>
      <c r="I748">
        <v>31.009188924156103</v>
      </c>
    </row>
    <row r="749" spans="1:9" x14ac:dyDescent="0.2">
      <c r="A749">
        <v>739</v>
      </c>
      <c r="B749">
        <v>1095882.9985655004</v>
      </c>
      <c r="C749">
        <v>88428.857238650788</v>
      </c>
      <c r="D749">
        <v>91443.976282847463</v>
      </c>
      <c r="E749">
        <v>90157.939500469176</v>
      </c>
      <c r="F749">
        <v>42241.703503878627</v>
      </c>
      <c r="G749">
        <v>10000</v>
      </c>
      <c r="H749">
        <v>302272.47652584605</v>
      </c>
      <c r="I749">
        <v>33.028377056524022</v>
      </c>
    </row>
    <row r="750" spans="1:9" x14ac:dyDescent="0.2">
      <c r="A750">
        <v>740</v>
      </c>
      <c r="B750">
        <v>1067611.8748174226</v>
      </c>
      <c r="C750">
        <v>90661.446710116928</v>
      </c>
      <c r="D750">
        <v>47463.879773721535</v>
      </c>
      <c r="E750">
        <v>121955.97246120188</v>
      </c>
      <c r="F750">
        <v>44443.105785775515</v>
      </c>
      <c r="G750">
        <v>10000</v>
      </c>
      <c r="H750">
        <v>294524.40473081585</v>
      </c>
      <c r="I750">
        <v>33.950359743780382</v>
      </c>
    </row>
    <row r="751" spans="1:9" x14ac:dyDescent="0.2">
      <c r="A751">
        <v>741</v>
      </c>
      <c r="B751">
        <v>1324966.5456070716</v>
      </c>
      <c r="C751">
        <v>126968.07531388821</v>
      </c>
      <c r="D751">
        <v>112386.75556887768</v>
      </c>
      <c r="E751">
        <v>93245.532594574426</v>
      </c>
      <c r="F751">
        <v>42455.459948855147</v>
      </c>
      <c r="G751">
        <v>10000</v>
      </c>
      <c r="H751">
        <v>365055.82342619548</v>
      </c>
      <c r="I751">
        <v>33.685965134174701</v>
      </c>
    </row>
    <row r="752" spans="1:9" x14ac:dyDescent="0.2">
      <c r="A752">
        <v>742</v>
      </c>
      <c r="B752">
        <v>1584006.9584454743</v>
      </c>
      <c r="C752">
        <v>107939.04670318701</v>
      </c>
      <c r="D752">
        <v>122655.73750854314</v>
      </c>
      <c r="E752">
        <v>167835.10423053673</v>
      </c>
      <c r="F752">
        <v>47619.353369806391</v>
      </c>
      <c r="G752">
        <v>10000</v>
      </c>
      <c r="H752">
        <v>436049.24181207322</v>
      </c>
      <c r="I752">
        <v>33.862105001591317</v>
      </c>
    </row>
    <row r="753" spans="1:9" x14ac:dyDescent="0.2">
      <c r="A753">
        <v>743</v>
      </c>
      <c r="B753">
        <v>1174154.9256300088</v>
      </c>
      <c r="C753">
        <v>116805.14842699909</v>
      </c>
      <c r="D753">
        <v>65675.05774741387</v>
      </c>
      <c r="E753">
        <v>107781.89385033674</v>
      </c>
      <c r="F753">
        <v>43461.823420407927</v>
      </c>
      <c r="G753">
        <v>10000</v>
      </c>
      <c r="H753">
        <v>323723.92344515765</v>
      </c>
      <c r="I753">
        <v>36.444634512935643</v>
      </c>
    </row>
    <row r="754" spans="1:9" x14ac:dyDescent="0.2">
      <c r="A754">
        <v>744</v>
      </c>
      <c r="B754">
        <v>1478464.1129752747</v>
      </c>
      <c r="C754">
        <v>82147.556213740798</v>
      </c>
      <c r="D754">
        <v>103307.76237283611</v>
      </c>
      <c r="E754">
        <v>182999.33888733108</v>
      </c>
      <c r="F754">
        <v>48669.184999892146</v>
      </c>
      <c r="G754">
        <v>10000</v>
      </c>
      <c r="H754">
        <v>407123.84247380012</v>
      </c>
      <c r="I754">
        <v>28.028697111045481</v>
      </c>
    </row>
    <row r="755" spans="1:9" x14ac:dyDescent="0.2">
      <c r="A755">
        <v>745</v>
      </c>
      <c r="B755">
        <v>1347680.1456771295</v>
      </c>
      <c r="C755">
        <v>109966.4733893153</v>
      </c>
      <c r="D755">
        <v>77628.66916011952</v>
      </c>
      <c r="E755">
        <v>147475.7788925347</v>
      </c>
      <c r="F755">
        <v>46209.861615637019</v>
      </c>
      <c r="G755">
        <v>10000</v>
      </c>
      <c r="H755">
        <v>371280.78305760655</v>
      </c>
      <c r="I755">
        <v>38.930265486160138</v>
      </c>
    </row>
    <row r="756" spans="1:9" x14ac:dyDescent="0.2">
      <c r="A756">
        <v>746</v>
      </c>
      <c r="B756">
        <v>1741720.3646342549</v>
      </c>
      <c r="C756">
        <v>131528.18485885434</v>
      </c>
      <c r="D756">
        <v>107346.87927647283</v>
      </c>
      <c r="E756">
        <v>200515.74341795378</v>
      </c>
      <c r="F756">
        <v>49881.859159704487</v>
      </c>
      <c r="G756">
        <v>10000</v>
      </c>
      <c r="H756">
        <v>479272.66671298543</v>
      </c>
      <c r="I756">
        <v>40.215008158776307</v>
      </c>
    </row>
    <row r="757" spans="1:9" x14ac:dyDescent="0.2">
      <c r="A757">
        <v>747</v>
      </c>
      <c r="B757">
        <v>1048727.8573246037</v>
      </c>
      <c r="C757">
        <v>117799.57685772517</v>
      </c>
      <c r="D757">
        <v>117479.66883957892</v>
      </c>
      <c r="E757">
        <v>26252.281060364348</v>
      </c>
      <c r="F757">
        <v>37817.465611871383</v>
      </c>
      <c r="G757">
        <v>10000</v>
      </c>
      <c r="H757">
        <v>289348.9923695398</v>
      </c>
      <c r="I757">
        <v>24.553455834955614</v>
      </c>
    </row>
    <row r="758" spans="1:9" x14ac:dyDescent="0.2">
      <c r="A758">
        <v>748</v>
      </c>
      <c r="B758">
        <v>1293312.8864469093</v>
      </c>
      <c r="C758">
        <v>101197.2726182605</v>
      </c>
      <c r="D758">
        <v>162601.65421707142</v>
      </c>
      <c r="E758">
        <v>62270.745075184663</v>
      </c>
      <c r="F758">
        <v>40311.051582128166</v>
      </c>
      <c r="G758">
        <v>10000</v>
      </c>
      <c r="H758">
        <v>356380.72349264479</v>
      </c>
      <c r="I758">
        <v>41.938302763014207</v>
      </c>
    </row>
    <row r="759" spans="1:9" x14ac:dyDescent="0.2">
      <c r="A759">
        <v>749</v>
      </c>
      <c r="B759">
        <v>1459673.1168873487</v>
      </c>
      <c r="C759">
        <v>113389.82327085816</v>
      </c>
      <c r="D759">
        <v>85132.937386001999</v>
      </c>
      <c r="E759">
        <v>165961.51953039339</v>
      </c>
      <c r="F759">
        <v>47489.643659796471</v>
      </c>
      <c r="G759">
        <v>10000</v>
      </c>
      <c r="H759">
        <v>401973.92384705</v>
      </c>
      <c r="I759">
        <v>36.520332760399732</v>
      </c>
    </row>
    <row r="760" spans="1:9" x14ac:dyDescent="0.2">
      <c r="A760">
        <v>750</v>
      </c>
      <c r="B760">
        <v>1682244.5579113197</v>
      </c>
      <c r="C760">
        <v>130484.33531356159</v>
      </c>
      <c r="D760">
        <v>86401.36193718118</v>
      </c>
      <c r="E760">
        <v>205836.61812954856</v>
      </c>
      <c r="F760">
        <v>50250.227408968749</v>
      </c>
      <c r="G760">
        <v>10000</v>
      </c>
      <c r="H760">
        <v>462972.54278926004</v>
      </c>
      <c r="I760">
        <v>33.790039946987086</v>
      </c>
    </row>
    <row r="761" spans="1:9" x14ac:dyDescent="0.2">
      <c r="A761">
        <v>751</v>
      </c>
      <c r="B761">
        <v>1508915.7856364236</v>
      </c>
      <c r="C761">
        <v>140143.97145066658</v>
      </c>
      <c r="D761">
        <v>119249.02115027673</v>
      </c>
      <c r="E761">
        <v>121654.30831620576</v>
      </c>
      <c r="F761">
        <v>44422.221344968093</v>
      </c>
      <c r="G761">
        <v>10000</v>
      </c>
      <c r="H761">
        <v>415469.52226211713</v>
      </c>
      <c r="I761">
        <v>42.258666312967847</v>
      </c>
    </row>
    <row r="762" spans="1:9" x14ac:dyDescent="0.2">
      <c r="A762">
        <v>752</v>
      </c>
      <c r="B762">
        <v>1342502.7900224491</v>
      </c>
      <c r="C762">
        <v>99113.029887779659</v>
      </c>
      <c r="D762">
        <v>55197.350182452217</v>
      </c>
      <c r="E762">
        <v>177278.36338534654</v>
      </c>
      <c r="F762">
        <v>48273.117465139381</v>
      </c>
      <c r="G762">
        <v>10000</v>
      </c>
      <c r="H762">
        <v>369861.86092071782</v>
      </c>
      <c r="I762">
        <v>36.92386843242538</v>
      </c>
    </row>
    <row r="763" spans="1:9" x14ac:dyDescent="0.2">
      <c r="A763">
        <v>753</v>
      </c>
      <c r="B763">
        <v>1231881.593314959</v>
      </c>
      <c r="C763">
        <v>99011.232848281201</v>
      </c>
      <c r="D763">
        <v>40683.558093378822</v>
      </c>
      <c r="E763">
        <v>162593.41478401504</v>
      </c>
      <c r="F763">
        <v>47256.467177354891</v>
      </c>
      <c r="G763">
        <v>10000</v>
      </c>
      <c r="H763">
        <v>339544.67290303</v>
      </c>
      <c r="I763">
        <v>37.878577593700399</v>
      </c>
    </row>
    <row r="764" spans="1:9" x14ac:dyDescent="0.2">
      <c r="A764">
        <v>754</v>
      </c>
      <c r="B764">
        <v>1467820.5469296742</v>
      </c>
      <c r="C764">
        <v>90854.703193156252</v>
      </c>
      <c r="D764">
        <v>71745.902435712589</v>
      </c>
      <c r="E764">
        <v>201646.11265536767</v>
      </c>
      <c r="F764">
        <v>49960.115491525452</v>
      </c>
      <c r="G764">
        <v>10000</v>
      </c>
      <c r="H764">
        <v>404206.83377576194</v>
      </c>
      <c r="I764">
        <v>44.969299415892223</v>
      </c>
    </row>
    <row r="765" spans="1:9" x14ac:dyDescent="0.2">
      <c r="A765">
        <v>755</v>
      </c>
      <c r="B765">
        <v>1418443.7390197769</v>
      </c>
      <c r="C765">
        <v>95965.198500486047</v>
      </c>
      <c r="D765">
        <v>50762.015833849087</v>
      </c>
      <c r="E765">
        <v>203835.5654401941</v>
      </c>
      <c r="F765">
        <v>50111.692992013435</v>
      </c>
      <c r="G765">
        <v>10000</v>
      </c>
      <c r="H765">
        <v>390674.47276654263</v>
      </c>
      <c r="I765">
        <v>33.228236181093884</v>
      </c>
    </row>
    <row r="766" spans="1:9" x14ac:dyDescent="0.2">
      <c r="A766">
        <v>756</v>
      </c>
      <c r="B766">
        <v>1169531.2664539292</v>
      </c>
      <c r="C766">
        <v>163429.16705966272</v>
      </c>
      <c r="D766">
        <v>75691.682143717058</v>
      </c>
      <c r="E766">
        <v>53623.503482913758</v>
      </c>
      <c r="F766">
        <v>39712.39639497095</v>
      </c>
      <c r="G766">
        <v>10000</v>
      </c>
      <c r="H766">
        <v>322456.74908126448</v>
      </c>
      <c r="I766">
        <v>35.291893209352502</v>
      </c>
    </row>
    <row r="767" spans="1:9" x14ac:dyDescent="0.2">
      <c r="A767">
        <v>757</v>
      </c>
      <c r="B767">
        <v>954353.27790463122</v>
      </c>
      <c r="C767">
        <v>102585.32367460948</v>
      </c>
      <c r="D767">
        <v>61842.148634503443</v>
      </c>
      <c r="E767">
        <v>68326.625488172678</v>
      </c>
      <c r="F767">
        <v>40730.304841488876</v>
      </c>
      <c r="G767">
        <v>10000</v>
      </c>
      <c r="H767">
        <v>263484.40263877448</v>
      </c>
      <c r="I767">
        <v>25.582046263071895</v>
      </c>
    </row>
    <row r="768" spans="1:9" x14ac:dyDescent="0.2">
      <c r="A768">
        <v>758</v>
      </c>
      <c r="B768">
        <v>1625175.4122703488</v>
      </c>
      <c r="C768">
        <v>145524.7850099908</v>
      </c>
      <c r="D768">
        <v>102135.12471727197</v>
      </c>
      <c r="E768">
        <v>162427.13091608684</v>
      </c>
      <c r="F768">
        <v>47244.955217267547</v>
      </c>
      <c r="G768">
        <v>10000</v>
      </c>
      <c r="H768">
        <v>447331.9958606172</v>
      </c>
      <c r="I768">
        <v>42.785286848832058</v>
      </c>
    </row>
    <row r="769" spans="1:9" x14ac:dyDescent="0.2">
      <c r="A769">
        <v>759</v>
      </c>
      <c r="B769">
        <v>1346266.1028692711</v>
      </c>
      <c r="C769">
        <v>91845.045040502417</v>
      </c>
      <c r="D769">
        <v>147686.92058072571</v>
      </c>
      <c r="E769">
        <v>98539.327069418767</v>
      </c>
      <c r="F769">
        <v>42821.953412498224</v>
      </c>
      <c r="G769">
        <v>10000</v>
      </c>
      <c r="H769">
        <v>370893.24610314512</v>
      </c>
      <c r="I769">
        <v>39.409233700883064</v>
      </c>
    </row>
    <row r="770" spans="1:9" x14ac:dyDescent="0.2">
      <c r="A770">
        <v>760</v>
      </c>
      <c r="B770">
        <v>1409594.0151181414</v>
      </c>
      <c r="C770">
        <v>114411.58047029244</v>
      </c>
      <c r="D770">
        <v>93051.265965251092</v>
      </c>
      <c r="E770">
        <v>144764.11269191586</v>
      </c>
      <c r="F770">
        <v>46022.130878671094</v>
      </c>
      <c r="G770">
        <v>10000</v>
      </c>
      <c r="H770">
        <v>388249.09000613046</v>
      </c>
      <c r="I770">
        <v>34.82734674546667</v>
      </c>
    </row>
    <row r="771" spans="1:9" x14ac:dyDescent="0.2">
      <c r="A771">
        <v>761</v>
      </c>
      <c r="B771">
        <v>1442000.9028092101</v>
      </c>
      <c r="C771">
        <v>125590.14556434356</v>
      </c>
      <c r="D771">
        <v>116968.3390818125</v>
      </c>
      <c r="E771">
        <v>120247.32278484915</v>
      </c>
      <c r="F771">
        <v>44324.814654335707</v>
      </c>
      <c r="G771">
        <v>10000</v>
      </c>
      <c r="H771">
        <v>397130.62208534096</v>
      </c>
      <c r="I771">
        <v>34.332642358511606</v>
      </c>
    </row>
    <row r="772" spans="1:9" x14ac:dyDescent="0.2">
      <c r="A772">
        <v>762</v>
      </c>
      <c r="B772">
        <v>1085721.590465918</v>
      </c>
      <c r="C772">
        <v>101938.98682717927</v>
      </c>
      <c r="D772">
        <v>88490.984960997768</v>
      </c>
      <c r="E772">
        <v>77679.805081199884</v>
      </c>
      <c r="F772">
        <v>41377.832659467684</v>
      </c>
      <c r="G772">
        <v>10000</v>
      </c>
      <c r="H772">
        <v>299487.60952884459</v>
      </c>
      <c r="I772">
        <v>37.814760728759339</v>
      </c>
    </row>
    <row r="773" spans="1:9" x14ac:dyDescent="0.2">
      <c r="A773">
        <v>763</v>
      </c>
      <c r="B773">
        <v>868879.16689800099</v>
      </c>
      <c r="C773">
        <v>108297.7441069862</v>
      </c>
      <c r="D773">
        <v>66016.407245983981</v>
      </c>
      <c r="E773">
        <v>37171.537386821896</v>
      </c>
      <c r="F773">
        <v>38573.414126779979</v>
      </c>
      <c r="G773">
        <v>10000</v>
      </c>
      <c r="H773">
        <v>240059.10286657204</v>
      </c>
      <c r="I773">
        <v>39.613457273745269</v>
      </c>
    </row>
    <row r="774" spans="1:9" x14ac:dyDescent="0.2">
      <c r="A774">
        <v>764</v>
      </c>
      <c r="B774">
        <v>1531782.5647674818</v>
      </c>
      <c r="C774">
        <v>144727.70155380471</v>
      </c>
      <c r="D774">
        <v>94950.521139776683</v>
      </c>
      <c r="E774">
        <v>145953.74957309183</v>
      </c>
      <c r="F774">
        <v>46104.490355060203</v>
      </c>
      <c r="G774">
        <v>10000</v>
      </c>
      <c r="H774">
        <v>421736.46262173343</v>
      </c>
      <c r="I774">
        <v>38.703054336277987</v>
      </c>
    </row>
    <row r="775" spans="1:9" x14ac:dyDescent="0.2">
      <c r="A775">
        <v>765</v>
      </c>
      <c r="B775">
        <v>902388.81831830542</v>
      </c>
      <c r="C775">
        <v>96482.023764308498</v>
      </c>
      <c r="D775">
        <v>35777.849656445593</v>
      </c>
      <c r="E775">
        <v>85092.003511937204</v>
      </c>
      <c r="F775">
        <v>41890.984858518728</v>
      </c>
      <c r="G775">
        <v>10000</v>
      </c>
      <c r="H775">
        <v>249242.86179121005</v>
      </c>
      <c r="I775">
        <v>31.606800754144366</v>
      </c>
    </row>
    <row r="776" spans="1:9" x14ac:dyDescent="0.2">
      <c r="A776">
        <v>766</v>
      </c>
      <c r="B776">
        <v>1093049.8552134284</v>
      </c>
      <c r="C776">
        <v>140288.76036725982</v>
      </c>
      <c r="D776">
        <v>36036.727543797897</v>
      </c>
      <c r="E776">
        <v>92749.415206513513</v>
      </c>
      <c r="F776">
        <v>42421.11336045093</v>
      </c>
      <c r="G776">
        <v>10000</v>
      </c>
      <c r="H776">
        <v>301496.01647802221</v>
      </c>
      <c r="I776">
        <v>33.771598591571205</v>
      </c>
    </row>
    <row r="777" spans="1:9" x14ac:dyDescent="0.2">
      <c r="A777">
        <v>767</v>
      </c>
      <c r="B777">
        <v>1400141.8252435818</v>
      </c>
      <c r="C777">
        <v>158495.0179762567</v>
      </c>
      <c r="D777">
        <v>46043.438093038094</v>
      </c>
      <c r="E777">
        <v>145076.38757558353</v>
      </c>
      <c r="F777">
        <v>46043.749909078855</v>
      </c>
      <c r="G777">
        <v>10000</v>
      </c>
      <c r="H777">
        <v>385658.59355395724</v>
      </c>
      <c r="I777">
        <v>46.400230613006748</v>
      </c>
    </row>
    <row r="778" spans="1:9" x14ac:dyDescent="0.2">
      <c r="A778">
        <v>768</v>
      </c>
      <c r="B778">
        <v>1055551.2688833144</v>
      </c>
      <c r="C778">
        <v>157353.76125683304</v>
      </c>
      <c r="D778">
        <v>55481.861946341116</v>
      </c>
      <c r="E778">
        <v>48991.682612740704</v>
      </c>
      <c r="F778">
        <v>39391.731873189739</v>
      </c>
      <c r="G778">
        <v>10000</v>
      </c>
      <c r="H778">
        <v>291219.03768910456</v>
      </c>
      <c r="I778">
        <v>39.17917044813008</v>
      </c>
    </row>
    <row r="779" spans="1:9" x14ac:dyDescent="0.2">
      <c r="A779">
        <v>769</v>
      </c>
      <c r="B779">
        <v>1134922.4513295162</v>
      </c>
      <c r="C779">
        <v>117013.60311280611</v>
      </c>
      <c r="D779">
        <v>47470.004694115203</v>
      </c>
      <c r="E779">
        <v>114557.25523727913</v>
      </c>
      <c r="F779">
        <v>43930.886901042402</v>
      </c>
      <c r="G779">
        <v>10000</v>
      </c>
      <c r="H779">
        <v>312971.74994524289</v>
      </c>
      <c r="I779">
        <v>31.614395971617586</v>
      </c>
    </row>
    <row r="780" spans="1:9" x14ac:dyDescent="0.2">
      <c r="A780">
        <v>770</v>
      </c>
      <c r="B780">
        <v>1686769.9497919844</v>
      </c>
      <c r="C780">
        <v>124185.86684834302</v>
      </c>
      <c r="D780">
        <v>128667.6026668471</v>
      </c>
      <c r="E780">
        <v>173357.63385463928</v>
      </c>
      <c r="F780">
        <v>48001.682343782719</v>
      </c>
      <c r="G780">
        <v>10000</v>
      </c>
      <c r="H780">
        <v>464212.7857136121</v>
      </c>
      <c r="I780">
        <v>33.628987127643725</v>
      </c>
    </row>
    <row r="781" spans="1:9" x14ac:dyDescent="0.2">
      <c r="A781">
        <v>771</v>
      </c>
      <c r="B781">
        <v>1374879.2681941669</v>
      </c>
      <c r="C781">
        <v>103705.48096130941</v>
      </c>
      <c r="D781">
        <v>97795.152596432279</v>
      </c>
      <c r="E781">
        <v>141442.26828027677</v>
      </c>
      <c r="F781">
        <v>45792.15703478839</v>
      </c>
      <c r="G781">
        <v>10000</v>
      </c>
      <c r="H781">
        <v>378735.05887280684</v>
      </c>
      <c r="I781">
        <v>35.082932302264453</v>
      </c>
    </row>
    <row r="782" spans="1:9" x14ac:dyDescent="0.2">
      <c r="A782">
        <v>772</v>
      </c>
      <c r="B782">
        <v>1788284.8130964669</v>
      </c>
      <c r="C782">
        <v>94138.907819097309</v>
      </c>
      <c r="D782">
        <v>160162.96940112542</v>
      </c>
      <c r="E782">
        <v>198023.09533959191</v>
      </c>
      <c r="F782">
        <v>49709.291215817902</v>
      </c>
      <c r="G782">
        <v>10000</v>
      </c>
      <c r="H782">
        <v>492034.26377563254</v>
      </c>
      <c r="I782">
        <v>36.94447331615946</v>
      </c>
    </row>
    <row r="783" spans="1:9" x14ac:dyDescent="0.2">
      <c r="A783">
        <v>773</v>
      </c>
      <c r="B783">
        <v>1175892.9766395479</v>
      </c>
      <c r="C783">
        <v>152022.8037279156</v>
      </c>
      <c r="D783">
        <v>99213.870881015508</v>
      </c>
      <c r="E783">
        <v>43922.776854266202</v>
      </c>
      <c r="F783">
        <v>39040.807628372277</v>
      </c>
      <c r="G783">
        <v>10000</v>
      </c>
      <c r="H783">
        <v>324200.25909156958</v>
      </c>
      <c r="I783">
        <v>34.961441129417125</v>
      </c>
    </row>
    <row r="784" spans="1:9" x14ac:dyDescent="0.2">
      <c r="A784">
        <v>774</v>
      </c>
      <c r="B784">
        <v>1457201.6019270299</v>
      </c>
      <c r="C784">
        <v>102666.06239447751</v>
      </c>
      <c r="D784">
        <v>97163.712890785886</v>
      </c>
      <c r="E784">
        <v>164105.63796067698</v>
      </c>
      <c r="F784">
        <v>47361.15955112379</v>
      </c>
      <c r="G784">
        <v>10000</v>
      </c>
      <c r="H784">
        <v>401296.57279706415</v>
      </c>
      <c r="I784">
        <v>26.194033388619783</v>
      </c>
    </row>
    <row r="785" spans="1:9" x14ac:dyDescent="0.2">
      <c r="A785">
        <v>775</v>
      </c>
      <c r="B785">
        <v>1356082.4595873812</v>
      </c>
      <c r="C785">
        <v>78972.358733887115</v>
      </c>
      <c r="D785">
        <v>60483.45986636851</v>
      </c>
      <c r="E785">
        <v>194651.83254930074</v>
      </c>
      <c r="F785">
        <v>49475.896099566977</v>
      </c>
      <c r="G785">
        <v>10000</v>
      </c>
      <c r="H785">
        <v>373583.54724912334</v>
      </c>
      <c r="I785">
        <v>29.405668504090563</v>
      </c>
    </row>
    <row r="786" spans="1:9" x14ac:dyDescent="0.2">
      <c r="A786">
        <v>776</v>
      </c>
      <c r="B786">
        <v>1321392.8531376498</v>
      </c>
      <c r="C786">
        <v>99200.299810514785</v>
      </c>
      <c r="D786">
        <v>158951.42775860563</v>
      </c>
      <c r="E786">
        <v>74749.699431552901</v>
      </c>
      <c r="F786">
        <v>41174.979191415201</v>
      </c>
      <c r="G786">
        <v>10000</v>
      </c>
      <c r="H786">
        <v>364076.4061920885</v>
      </c>
      <c r="I786">
        <v>36.770166549002468</v>
      </c>
    </row>
    <row r="787" spans="1:9" x14ac:dyDescent="0.2">
      <c r="A787">
        <v>777</v>
      </c>
      <c r="B787">
        <v>1839218.688597304</v>
      </c>
      <c r="C787">
        <v>114018.05134109186</v>
      </c>
      <c r="D787">
        <v>153382.66248332741</v>
      </c>
      <c r="E787">
        <v>198827.65428006335</v>
      </c>
      <c r="F787">
        <v>49764.991450158232</v>
      </c>
      <c r="G787">
        <v>10000</v>
      </c>
      <c r="H787">
        <v>505993.35955464089</v>
      </c>
      <c r="I787">
        <v>35.986238435760988</v>
      </c>
    </row>
    <row r="788" spans="1:9" x14ac:dyDescent="0.2">
      <c r="A788">
        <v>778</v>
      </c>
      <c r="B788">
        <v>1659765.9763124671</v>
      </c>
      <c r="C788">
        <v>112630.3211275731</v>
      </c>
      <c r="D788">
        <v>122663.87943583129</v>
      </c>
      <c r="E788">
        <v>182858.36707235387</v>
      </c>
      <c r="F788">
        <v>48659.425412701421</v>
      </c>
      <c r="G788">
        <v>10000</v>
      </c>
      <c r="H788">
        <v>456811.9930484597</v>
      </c>
      <c r="I788">
        <v>32.390016123560159</v>
      </c>
    </row>
    <row r="789" spans="1:9" x14ac:dyDescent="0.2">
      <c r="A789">
        <v>779</v>
      </c>
      <c r="B789">
        <v>1353051.3347696871</v>
      </c>
      <c r="C789">
        <v>83959.532505979529</v>
      </c>
      <c r="D789">
        <v>114785.1483534654</v>
      </c>
      <c r="E789">
        <v>138424.8856159118</v>
      </c>
      <c r="F789">
        <v>45583.26131187081</v>
      </c>
      <c r="G789">
        <v>10000</v>
      </c>
      <c r="H789">
        <v>372752.82778722752</v>
      </c>
      <c r="I789">
        <v>29.637079067664548</v>
      </c>
    </row>
    <row r="790" spans="1:9" x14ac:dyDescent="0.2">
      <c r="A790">
        <v>780</v>
      </c>
      <c r="B790">
        <v>1488164.1747674323</v>
      </c>
      <c r="C790">
        <v>111526.67437434095</v>
      </c>
      <c r="D790">
        <v>67542.703929522249</v>
      </c>
      <c r="E790">
        <v>191458.10152409982</v>
      </c>
      <c r="F790">
        <v>49254.791643976147</v>
      </c>
      <c r="G790">
        <v>10000</v>
      </c>
      <c r="H790">
        <v>409782.27147193917</v>
      </c>
      <c r="I790">
        <v>36.817672539123578</v>
      </c>
    </row>
    <row r="791" spans="1:9" x14ac:dyDescent="0.2">
      <c r="A791">
        <v>781</v>
      </c>
      <c r="B791">
        <v>1165689.9082867927</v>
      </c>
      <c r="C791">
        <v>111384.69734063695</v>
      </c>
      <c r="D791">
        <v>87894.596050216147</v>
      </c>
      <c r="E791">
        <v>89900.780946256724</v>
      </c>
      <c r="F791">
        <v>42223.900219356234</v>
      </c>
      <c r="G791">
        <v>10000</v>
      </c>
      <c r="H791">
        <v>321403.97455646604</v>
      </c>
      <c r="I791">
        <v>24.445324636061883</v>
      </c>
    </row>
    <row r="792" spans="1:9" x14ac:dyDescent="0.2">
      <c r="A792">
        <v>782</v>
      </c>
      <c r="B792">
        <v>1102000.7097539073</v>
      </c>
      <c r="C792">
        <v>91875.8740003407</v>
      </c>
      <c r="D792">
        <v>79949.639792106609</v>
      </c>
      <c r="E792">
        <v>99252.289287045438</v>
      </c>
      <c r="F792">
        <v>42871.312335256996</v>
      </c>
      <c r="G792">
        <v>10000</v>
      </c>
      <c r="H792">
        <v>303949.11541474977</v>
      </c>
      <c r="I792">
        <v>40.765786317485691</v>
      </c>
    </row>
    <row r="793" spans="1:9" x14ac:dyDescent="0.2">
      <c r="A793">
        <v>783</v>
      </c>
      <c r="B793">
        <v>1274391.6387916242</v>
      </c>
      <c r="C793">
        <v>95410.991240365081</v>
      </c>
      <c r="D793">
        <v>97769.130205138703</v>
      </c>
      <c r="E793">
        <v>123467.25334805594</v>
      </c>
      <c r="F793">
        <v>44547.732924096177</v>
      </c>
      <c r="G793">
        <v>10000</v>
      </c>
      <c r="H793">
        <v>351195.10771765589</v>
      </c>
      <c r="I793">
        <v>34.943484439206529</v>
      </c>
    </row>
    <row r="794" spans="1:9" x14ac:dyDescent="0.2">
      <c r="A794">
        <v>784</v>
      </c>
      <c r="B794">
        <v>1098944.9223432061</v>
      </c>
      <c r="C794">
        <v>129193.00583229229</v>
      </c>
      <c r="D794">
        <v>68701.651000718091</v>
      </c>
      <c r="E794">
        <v>74087.823033897541</v>
      </c>
      <c r="F794">
        <v>41129.156979269828</v>
      </c>
      <c r="G794">
        <v>10000</v>
      </c>
      <c r="H794">
        <v>303111.63684617775</v>
      </c>
      <c r="I794">
        <v>31.802096527677442</v>
      </c>
    </row>
    <row r="795" spans="1:9" x14ac:dyDescent="0.2">
      <c r="A795">
        <v>785</v>
      </c>
      <c r="B795">
        <v>1452146.8207126092</v>
      </c>
      <c r="C795">
        <v>167314.45828213595</v>
      </c>
      <c r="D795">
        <v>49718.192001451454</v>
      </c>
      <c r="E795">
        <v>146720.98673370815</v>
      </c>
      <c r="F795">
        <v>46157.606773872103</v>
      </c>
      <c r="G795">
        <v>10000</v>
      </c>
      <c r="H795">
        <v>399911.24379116768</v>
      </c>
      <c r="I795">
        <v>49.377454221021885</v>
      </c>
    </row>
    <row r="796" spans="1:9" x14ac:dyDescent="0.2">
      <c r="A796">
        <v>786</v>
      </c>
      <c r="B796">
        <v>1940100.3011846286</v>
      </c>
      <c r="C796">
        <v>139920.2632667287</v>
      </c>
      <c r="D796">
        <v>147714.65497933995</v>
      </c>
      <c r="E796">
        <v>205761.35203693557</v>
      </c>
      <c r="F796">
        <v>50245.016679480155</v>
      </c>
      <c r="G796">
        <v>10000</v>
      </c>
      <c r="H796">
        <v>533641.28696248436</v>
      </c>
      <c r="I796">
        <v>47.123705573929016</v>
      </c>
    </row>
    <row r="797" spans="1:9" x14ac:dyDescent="0.2">
      <c r="A797">
        <v>787</v>
      </c>
      <c r="B797">
        <v>1337155.782147927</v>
      </c>
      <c r="C797">
        <v>93889.622424057525</v>
      </c>
      <c r="D797">
        <v>112530.63506574029</v>
      </c>
      <c r="E797">
        <v>127171.97240655846</v>
      </c>
      <c r="F797">
        <v>44804.213474300203</v>
      </c>
      <c r="G797">
        <v>10000</v>
      </c>
      <c r="H797">
        <v>368396.44337065652</v>
      </c>
      <c r="I797">
        <v>38.750006757169672</v>
      </c>
    </row>
    <row r="798" spans="1:9" x14ac:dyDescent="0.2">
      <c r="A798">
        <v>788</v>
      </c>
      <c r="B798">
        <v>1241637.8512922742</v>
      </c>
      <c r="C798">
        <v>148395.77236507126</v>
      </c>
      <c r="D798">
        <v>95540.548811381464</v>
      </c>
      <c r="E798">
        <v>67602.04074316984</v>
      </c>
      <c r="F798">
        <v>40680.141282219447</v>
      </c>
      <c r="G798">
        <v>10000</v>
      </c>
      <c r="H798">
        <v>342218.50320184202</v>
      </c>
      <c r="I798">
        <v>24.789388055039694</v>
      </c>
    </row>
    <row r="799" spans="1:9" x14ac:dyDescent="0.2">
      <c r="A799">
        <v>789</v>
      </c>
      <c r="B799">
        <v>995409.78818118689</v>
      </c>
      <c r="C799">
        <v>125616.2322307789</v>
      </c>
      <c r="D799">
        <v>83950.778854489996</v>
      </c>
      <c r="E799">
        <v>36633.313531026084</v>
      </c>
      <c r="F799">
        <v>38536.152475224881</v>
      </c>
      <c r="G799">
        <v>10000</v>
      </c>
      <c r="H799">
        <v>274736.47709151986</v>
      </c>
      <c r="I799">
        <v>37.055137453290435</v>
      </c>
    </row>
    <row r="800" spans="1:9" x14ac:dyDescent="0.2">
      <c r="A800">
        <v>790</v>
      </c>
      <c r="B800">
        <v>1580191.1790693931</v>
      </c>
      <c r="C800">
        <v>139159.78764144884</v>
      </c>
      <c r="D800">
        <v>124489.60972441689</v>
      </c>
      <c r="E800">
        <v>135942.66486432418</v>
      </c>
      <c r="F800">
        <v>45411.415259837828</v>
      </c>
      <c r="G800">
        <v>10000</v>
      </c>
      <c r="H800">
        <v>435003.47749002773</v>
      </c>
      <c r="I800">
        <v>29.624992869896484</v>
      </c>
    </row>
    <row r="801" spans="1:9" x14ac:dyDescent="0.2">
      <c r="A801">
        <v>791</v>
      </c>
      <c r="B801">
        <v>1409117.9908474765</v>
      </c>
      <c r="C801">
        <v>140426.81596175229</v>
      </c>
      <c r="D801">
        <v>64795.390740459952</v>
      </c>
      <c r="E801">
        <v>146737.66144032119</v>
      </c>
      <c r="F801">
        <v>46158.761176637614</v>
      </c>
      <c r="G801">
        <v>10000</v>
      </c>
      <c r="H801">
        <v>388118.62931917107</v>
      </c>
      <c r="I801">
        <v>34.219286922498725</v>
      </c>
    </row>
    <row r="802" spans="1:9" x14ac:dyDescent="0.2">
      <c r="A802">
        <v>792</v>
      </c>
      <c r="B802">
        <v>1600424.8724850183</v>
      </c>
      <c r="C802">
        <v>139154.68276377622</v>
      </c>
      <c r="D802">
        <v>97992.792538144815</v>
      </c>
      <c r="E802">
        <v>165914.89510114043</v>
      </c>
      <c r="F802">
        <v>47486.415814694337</v>
      </c>
      <c r="G802">
        <v>10000</v>
      </c>
      <c r="H802">
        <v>440548.78621775575</v>
      </c>
      <c r="I802">
        <v>32.466789541049884</v>
      </c>
    </row>
    <row r="803" spans="1:9" x14ac:dyDescent="0.2">
      <c r="A803">
        <v>793</v>
      </c>
      <c r="B803">
        <v>1135418.3511172917</v>
      </c>
      <c r="C803">
        <v>102848.86611330247</v>
      </c>
      <c r="D803">
        <v>49604.927449283357</v>
      </c>
      <c r="E803">
        <v>125935.26869069542</v>
      </c>
      <c r="F803">
        <v>44718.595524740456</v>
      </c>
      <c r="G803">
        <v>10000</v>
      </c>
      <c r="H803">
        <v>313107.6577780217</v>
      </c>
      <c r="I803">
        <v>36.495029449002416</v>
      </c>
    </row>
    <row r="804" spans="1:9" x14ac:dyDescent="0.2">
      <c r="A804">
        <v>794</v>
      </c>
      <c r="B804">
        <v>1240969.4306661533</v>
      </c>
      <c r="C804">
        <v>103702.8221137529</v>
      </c>
      <c r="D804">
        <v>118297.39670016745</v>
      </c>
      <c r="E804">
        <v>87946.491688733935</v>
      </c>
      <c r="F804">
        <v>42088.603270758504</v>
      </c>
      <c r="G804">
        <v>10000</v>
      </c>
      <c r="H804">
        <v>342035.31377341278</v>
      </c>
      <c r="I804">
        <v>38.914765628072644</v>
      </c>
    </row>
    <row r="805" spans="1:9" x14ac:dyDescent="0.2">
      <c r="A805">
        <v>795</v>
      </c>
      <c r="B805">
        <v>1129123.4842196801</v>
      </c>
      <c r="C805">
        <v>147223.68337718886</v>
      </c>
      <c r="D805">
        <v>61148.844847934321</v>
      </c>
      <c r="E805">
        <v>72023.683789678762</v>
      </c>
      <c r="F805">
        <v>40986.255031593144</v>
      </c>
      <c r="G805">
        <v>10000</v>
      </c>
      <c r="H805">
        <v>311382.46704639506</v>
      </c>
      <c r="I805">
        <v>31.3649070406668</v>
      </c>
    </row>
    <row r="806" spans="1:9" x14ac:dyDescent="0.2">
      <c r="A806">
        <v>796</v>
      </c>
      <c r="B806">
        <v>1206622.5749091031</v>
      </c>
      <c r="C806">
        <v>119101.33689114572</v>
      </c>
      <c r="D806">
        <v>85947.490774773149</v>
      </c>
      <c r="E806">
        <v>94996.593149536988</v>
      </c>
      <c r="F806">
        <v>42576.687218044863</v>
      </c>
      <c r="G806">
        <v>10000</v>
      </c>
      <c r="H806">
        <v>332622.10803350073</v>
      </c>
      <c r="I806">
        <v>40.369883936479397</v>
      </c>
    </row>
    <row r="807" spans="1:9" x14ac:dyDescent="0.2">
      <c r="A807">
        <v>797</v>
      </c>
      <c r="B807">
        <v>1228153.4983551509</v>
      </c>
      <c r="C807">
        <v>134539.31068446921</v>
      </c>
      <c r="D807">
        <v>110388.62219876463</v>
      </c>
      <c r="E807">
        <v>63218.351646636678</v>
      </c>
      <c r="F807">
        <v>40376.655113997927</v>
      </c>
      <c r="G807">
        <v>10000</v>
      </c>
      <c r="H807">
        <v>338522.93964386842</v>
      </c>
      <c r="I807">
        <v>40.719971950107137</v>
      </c>
    </row>
    <row r="808" spans="1:9" x14ac:dyDescent="0.2">
      <c r="A808">
        <v>798</v>
      </c>
      <c r="B808">
        <v>1146199.5366557266</v>
      </c>
      <c r="C808">
        <v>118157.42850570117</v>
      </c>
      <c r="D808">
        <v>61943.558585898565</v>
      </c>
      <c r="E808">
        <v>102841.59320283978</v>
      </c>
      <c r="F808">
        <v>43119.802606350451</v>
      </c>
      <c r="G808">
        <v>10000</v>
      </c>
      <c r="H808">
        <v>316062.38290078996</v>
      </c>
      <c r="I808">
        <v>35.085488873401218</v>
      </c>
    </row>
    <row r="809" spans="1:9" x14ac:dyDescent="0.2">
      <c r="A809">
        <v>799</v>
      </c>
      <c r="B809">
        <v>1267904.4117437121</v>
      </c>
      <c r="C809">
        <v>155540.35642639789</v>
      </c>
      <c r="D809">
        <v>113910.01254668373</v>
      </c>
      <c r="E809">
        <v>50472.574066307403</v>
      </c>
      <c r="F809">
        <v>39494.255127667435</v>
      </c>
      <c r="G809">
        <v>10000</v>
      </c>
      <c r="H809">
        <v>349417.19816705649</v>
      </c>
      <c r="I809">
        <v>30.08452706140169</v>
      </c>
    </row>
    <row r="810" spans="1:9" x14ac:dyDescent="0.2">
      <c r="A810">
        <v>800</v>
      </c>
      <c r="B810">
        <v>1090489.9999903846</v>
      </c>
      <c r="C810">
        <v>99917.986161061126</v>
      </c>
      <c r="D810">
        <v>110486.55907079772</v>
      </c>
      <c r="E810">
        <v>60220.778566170433</v>
      </c>
      <c r="F810">
        <v>40169.1308238118</v>
      </c>
      <c r="G810">
        <v>10000</v>
      </c>
      <c r="H810">
        <v>300794.45462184108</v>
      </c>
      <c r="I810">
        <v>26.725201344104995</v>
      </c>
    </row>
    <row r="811" spans="1:9" x14ac:dyDescent="0.2">
      <c r="A811">
        <v>801</v>
      </c>
      <c r="B811">
        <v>898663.88448793127</v>
      </c>
      <c r="C811">
        <v>133308.70779305458</v>
      </c>
      <c r="D811">
        <v>37490.28486120193</v>
      </c>
      <c r="E811">
        <v>48093.455319955741</v>
      </c>
      <c r="F811">
        <v>39329.546906766162</v>
      </c>
      <c r="G811">
        <v>10000</v>
      </c>
      <c r="H811">
        <v>248221.99488097843</v>
      </c>
      <c r="I811">
        <v>28.950696605411871</v>
      </c>
    </row>
    <row r="812" spans="1:9" x14ac:dyDescent="0.2">
      <c r="A812">
        <v>802</v>
      </c>
      <c r="B812">
        <v>1357860.76452958</v>
      </c>
      <c r="C812">
        <v>147324.16168018151</v>
      </c>
      <c r="D812">
        <v>91659.27450488355</v>
      </c>
      <c r="E812">
        <v>102024.26077440141</v>
      </c>
      <c r="F812">
        <v>43063.2180536124</v>
      </c>
      <c r="G812">
        <v>10000</v>
      </c>
      <c r="H812">
        <v>374070.91501307889</v>
      </c>
      <c r="I812">
        <v>45.86009154790159</v>
      </c>
    </row>
    <row r="813" spans="1:9" x14ac:dyDescent="0.2">
      <c r="A813">
        <v>803</v>
      </c>
      <c r="B813">
        <v>1277077.5329786865</v>
      </c>
      <c r="C813">
        <v>99784.341555632287</v>
      </c>
      <c r="D813">
        <v>105084.45939288242</v>
      </c>
      <c r="E813">
        <v>113223.83786385863</v>
      </c>
      <c r="F813">
        <v>43838.573390574827</v>
      </c>
      <c r="G813">
        <v>10000</v>
      </c>
      <c r="H813">
        <v>351931.21220294817</v>
      </c>
      <c r="I813">
        <v>37.526495876308189</v>
      </c>
    </row>
    <row r="814" spans="1:9" x14ac:dyDescent="0.2">
      <c r="A814">
        <v>804</v>
      </c>
      <c r="B814">
        <v>1064457.804165605</v>
      </c>
      <c r="C814">
        <v>119064.41551205884</v>
      </c>
      <c r="D814">
        <v>62855.847180307952</v>
      </c>
      <c r="E814">
        <v>80188.234502352498</v>
      </c>
      <c r="F814">
        <v>41551.49315785517</v>
      </c>
      <c r="G814">
        <v>10000</v>
      </c>
      <c r="H814">
        <v>293659.99035257444</v>
      </c>
      <c r="I814">
        <v>25.54579657379832</v>
      </c>
    </row>
    <row r="815" spans="1:9" x14ac:dyDescent="0.2">
      <c r="A815">
        <v>805</v>
      </c>
      <c r="B815">
        <v>1144583.0793172393</v>
      </c>
      <c r="C815">
        <v>106260.9724115876</v>
      </c>
      <c r="D815">
        <v>100606.61458222737</v>
      </c>
      <c r="E815">
        <v>77393.75538027224</v>
      </c>
      <c r="F815">
        <v>41358.029218634234</v>
      </c>
      <c r="G815">
        <v>10000</v>
      </c>
      <c r="H815">
        <v>315619.37159272144</v>
      </c>
      <c r="I815">
        <v>52.897963680142873</v>
      </c>
    </row>
    <row r="816" spans="1:9" x14ac:dyDescent="0.2">
      <c r="A816">
        <v>806</v>
      </c>
      <c r="B816">
        <v>1413123.6519851191</v>
      </c>
      <c r="C816">
        <v>85359.415323435809</v>
      </c>
      <c r="D816">
        <v>75597.810006659929</v>
      </c>
      <c r="E816">
        <v>189163.28795953441</v>
      </c>
      <c r="F816">
        <v>49095.919935660073</v>
      </c>
      <c r="G816">
        <v>10000</v>
      </c>
      <c r="H816">
        <v>389216.43322529027</v>
      </c>
      <c r="I816">
        <v>36.179698501650428</v>
      </c>
    </row>
    <row r="817" spans="1:9" x14ac:dyDescent="0.2">
      <c r="A817">
        <v>807</v>
      </c>
      <c r="B817">
        <v>1126794.1320366941</v>
      </c>
      <c r="C817">
        <v>92388.345785533529</v>
      </c>
      <c r="D817">
        <v>66459.133919813554</v>
      </c>
      <c r="E817">
        <v>117745.01958356083</v>
      </c>
      <c r="F817">
        <v>44151.578278861904</v>
      </c>
      <c r="G817">
        <v>10000</v>
      </c>
      <c r="H817">
        <v>310744.0775677698</v>
      </c>
      <c r="I817">
        <v>36.936442049078501</v>
      </c>
    </row>
    <row r="818" spans="1:9" x14ac:dyDescent="0.2">
      <c r="A818">
        <v>808</v>
      </c>
      <c r="B818">
        <v>999334.1430242653</v>
      </c>
      <c r="C818">
        <v>93722.440765319188</v>
      </c>
      <c r="D818">
        <v>59326.749085970652</v>
      </c>
      <c r="E818">
        <v>90497.590301186312</v>
      </c>
      <c r="F818">
        <v>42265.217790082133</v>
      </c>
      <c r="G818">
        <v>10000</v>
      </c>
      <c r="H818">
        <v>275811.99794255832</v>
      </c>
      <c r="I818">
        <v>38.674538273866048</v>
      </c>
    </row>
    <row r="819" spans="1:9" x14ac:dyDescent="0.2">
      <c r="A819">
        <v>809</v>
      </c>
      <c r="B819">
        <v>1548616.0890735518</v>
      </c>
      <c r="C819">
        <v>155406.99688409036</v>
      </c>
      <c r="D819">
        <v>123612.33198363187</v>
      </c>
      <c r="E819">
        <v>113474.64465947427</v>
      </c>
      <c r="F819">
        <v>43855.936937963605</v>
      </c>
      <c r="G819">
        <v>10000</v>
      </c>
      <c r="H819">
        <v>426349.91046516009</v>
      </c>
      <c r="I819">
        <v>36.362801182779876</v>
      </c>
    </row>
    <row r="820" spans="1:9" x14ac:dyDescent="0.2">
      <c r="A820">
        <v>810</v>
      </c>
      <c r="B820">
        <v>1128638.9214634737</v>
      </c>
      <c r="C820">
        <v>117635.14205392826</v>
      </c>
      <c r="D820">
        <v>82773.191380156</v>
      </c>
      <c r="E820">
        <v>79348.00913237613</v>
      </c>
      <c r="F820">
        <v>41493.323709164499</v>
      </c>
      <c r="G820">
        <v>10000</v>
      </c>
      <c r="H820">
        <v>311249.66627562488</v>
      </c>
      <c r="I820">
        <v>37.209221530046392</v>
      </c>
    </row>
    <row r="821" spans="1:9" x14ac:dyDescent="0.2">
      <c r="A821">
        <v>811</v>
      </c>
      <c r="B821">
        <v>1422490.703601493</v>
      </c>
      <c r="C821">
        <v>133961.03699674812</v>
      </c>
      <c r="D821">
        <v>100078.66375386194</v>
      </c>
      <c r="E821">
        <v>123213.71537664031</v>
      </c>
      <c r="F821">
        <v>44530.180295305865</v>
      </c>
      <c r="G821">
        <v>10000</v>
      </c>
      <c r="H821">
        <v>391783.59642255621</v>
      </c>
      <c r="I821">
        <v>33.398239372668925</v>
      </c>
    </row>
    <row r="822" spans="1:9" x14ac:dyDescent="0.2">
      <c r="A822">
        <v>812</v>
      </c>
      <c r="B822">
        <v>1804877.0909019304</v>
      </c>
      <c r="C822">
        <v>115870.21550073269</v>
      </c>
      <c r="D822">
        <v>140003.17041759414</v>
      </c>
      <c r="E822">
        <v>200806.23857424865</v>
      </c>
      <c r="F822">
        <v>49901.970362832595</v>
      </c>
      <c r="G822">
        <v>10000</v>
      </c>
      <c r="H822">
        <v>496581.59485540813</v>
      </c>
      <c r="I822">
        <v>36.893666221464336</v>
      </c>
    </row>
    <row r="823" spans="1:9" x14ac:dyDescent="0.2">
      <c r="A823">
        <v>813</v>
      </c>
      <c r="B823">
        <v>1191865.8981988535</v>
      </c>
      <c r="C823">
        <v>116472.0348883384</v>
      </c>
      <c r="D823">
        <v>49570.758305492818</v>
      </c>
      <c r="E823">
        <v>127694.65508680527</v>
      </c>
      <c r="F823">
        <v>44840.399198317289</v>
      </c>
      <c r="G823">
        <v>10000</v>
      </c>
      <c r="H823">
        <v>328577.84747895377</v>
      </c>
      <c r="I823">
        <v>32.361428005354398</v>
      </c>
    </row>
    <row r="824" spans="1:9" x14ac:dyDescent="0.2">
      <c r="A824">
        <v>814</v>
      </c>
      <c r="B824">
        <v>1501374.2018513801</v>
      </c>
      <c r="C824">
        <v>116264.52724513528</v>
      </c>
      <c r="D824">
        <v>64652.924257487248</v>
      </c>
      <c r="E824">
        <v>193115.65554955162</v>
      </c>
      <c r="F824">
        <v>49369.54538419973</v>
      </c>
      <c r="G824">
        <v>10000</v>
      </c>
      <c r="H824">
        <v>413402.65243637387</v>
      </c>
      <c r="I824">
        <v>24.987153516680866</v>
      </c>
    </row>
    <row r="825" spans="1:9" x14ac:dyDescent="0.2">
      <c r="A825">
        <v>815</v>
      </c>
      <c r="B825">
        <v>1112968.1910109539</v>
      </c>
      <c r="C825">
        <v>99960.874017120674</v>
      </c>
      <c r="D825">
        <v>76231.778041219557</v>
      </c>
      <c r="E825">
        <v>97979.07830184768</v>
      </c>
      <c r="F825">
        <v>42783.166959358685</v>
      </c>
      <c r="G825">
        <v>10000</v>
      </c>
      <c r="H825">
        <v>306954.89731954661</v>
      </c>
      <c r="I825">
        <v>51.725489258355353</v>
      </c>
    </row>
    <row r="826" spans="1:9" x14ac:dyDescent="0.2">
      <c r="A826">
        <v>816</v>
      </c>
      <c r="B826">
        <v>1391370.1792290004</v>
      </c>
      <c r="C826">
        <v>104174.59200484327</v>
      </c>
      <c r="D826">
        <v>59715.381557096582</v>
      </c>
      <c r="E826">
        <v>180844.62312885845</v>
      </c>
      <c r="F826">
        <v>48520.01237045943</v>
      </c>
      <c r="G826">
        <v>10000</v>
      </c>
      <c r="H826">
        <v>383254.60906125774</v>
      </c>
      <c r="I826">
        <v>41.169321593812938</v>
      </c>
    </row>
    <row r="827" spans="1:9" x14ac:dyDescent="0.2">
      <c r="A827">
        <v>817</v>
      </c>
      <c r="B827">
        <v>1602717.2907490525</v>
      </c>
      <c r="C827">
        <v>145424.55597459016</v>
      </c>
      <c r="D827">
        <v>99802.53582806859</v>
      </c>
      <c r="E827">
        <v>158946.00731672853</v>
      </c>
      <c r="F827">
        <v>47003.954352696594</v>
      </c>
      <c r="G827">
        <v>10000</v>
      </c>
      <c r="H827">
        <v>441177.05347208388</v>
      </c>
      <c r="I827">
        <v>33.236889037100397</v>
      </c>
    </row>
    <row r="828" spans="1:9" x14ac:dyDescent="0.2">
      <c r="A828">
        <v>818</v>
      </c>
      <c r="B828">
        <v>1572481.6635879113</v>
      </c>
      <c r="C828">
        <v>99362.267791193008</v>
      </c>
      <c r="D828">
        <v>111904.97659072548</v>
      </c>
      <c r="E828">
        <v>182957.08001548264</v>
      </c>
      <c r="F828">
        <v>48666.259385687263</v>
      </c>
      <c r="G828">
        <v>10000</v>
      </c>
      <c r="H828">
        <v>432890.58378308837</v>
      </c>
      <c r="I828">
        <v>30.181891157415428</v>
      </c>
    </row>
    <row r="829" spans="1:9" x14ac:dyDescent="0.2">
      <c r="A829">
        <v>819</v>
      </c>
      <c r="B829">
        <v>750285.67273742135</v>
      </c>
      <c r="C829">
        <v>84184.653968386017</v>
      </c>
      <c r="D829">
        <v>66466.581371693552</v>
      </c>
      <c r="E829">
        <v>28904.67413552013</v>
      </c>
      <c r="F829">
        <v>38001.092824766776</v>
      </c>
      <c r="G829">
        <v>10000</v>
      </c>
      <c r="H829">
        <v>207557.00230036647</v>
      </c>
      <c r="I829">
        <v>49.959987590684058</v>
      </c>
    </row>
    <row r="830" spans="1:9" x14ac:dyDescent="0.2">
      <c r="A830">
        <v>820</v>
      </c>
      <c r="B830">
        <v>1327086.6799339782</v>
      </c>
      <c r="C830">
        <v>122836.97606477623</v>
      </c>
      <c r="D830">
        <v>59380.948820432408</v>
      </c>
      <c r="E830">
        <v>147226.35529727378</v>
      </c>
      <c r="F830">
        <v>46192.593828272802</v>
      </c>
      <c r="G830">
        <v>10000</v>
      </c>
      <c r="H830">
        <v>365636.87401075521</v>
      </c>
      <c r="I830">
        <v>23.618407052889143</v>
      </c>
    </row>
    <row r="831" spans="1:9" x14ac:dyDescent="0.2">
      <c r="A831">
        <v>821</v>
      </c>
      <c r="B831">
        <v>1688731.6540546054</v>
      </c>
      <c r="C831">
        <v>92549.681055357112</v>
      </c>
      <c r="D831">
        <v>158638.32666714545</v>
      </c>
      <c r="E831">
        <v>175418.0801176964</v>
      </c>
      <c r="F831">
        <v>48144.328623532827</v>
      </c>
      <c r="G831">
        <v>10000</v>
      </c>
      <c r="H831">
        <v>464750.41646373185</v>
      </c>
      <c r="I831">
        <v>31.252613995859697</v>
      </c>
    </row>
    <row r="832" spans="1:9" x14ac:dyDescent="0.2">
      <c r="A832">
        <v>822</v>
      </c>
      <c r="B832">
        <v>905024.22835511027</v>
      </c>
      <c r="C832">
        <v>92841.715831452733</v>
      </c>
      <c r="D832">
        <v>101788.5172263188</v>
      </c>
      <c r="E832">
        <v>27435.515531553672</v>
      </c>
      <c r="F832">
        <v>37899.381844492178</v>
      </c>
      <c r="G832">
        <v>10000</v>
      </c>
      <c r="H832">
        <v>249965.13043381739</v>
      </c>
      <c r="I832">
        <v>39.715840520533931</v>
      </c>
    </row>
    <row r="833" spans="1:9" x14ac:dyDescent="0.2">
      <c r="A833">
        <v>823</v>
      </c>
      <c r="B833">
        <v>1579466.5358130971</v>
      </c>
      <c r="C833">
        <v>122264.35340204058</v>
      </c>
      <c r="D833">
        <v>86319.244706908445</v>
      </c>
      <c r="E833">
        <v>187257.31354365821</v>
      </c>
      <c r="F833">
        <v>48963.967860714794</v>
      </c>
      <c r="G833">
        <v>10000</v>
      </c>
      <c r="H833">
        <v>434804.87951332203</v>
      </c>
      <c r="I833">
        <v>39.078448386710633</v>
      </c>
    </row>
    <row r="834" spans="1:9" x14ac:dyDescent="0.2">
      <c r="A834">
        <v>824</v>
      </c>
      <c r="B834">
        <v>1976006.8143109651</v>
      </c>
      <c r="C834">
        <v>142406.45821724183</v>
      </c>
      <c r="D834">
        <v>157198.34646677517</v>
      </c>
      <c r="E834">
        <v>203769.98008352765</v>
      </c>
      <c r="F834">
        <v>50107.152467321146</v>
      </c>
      <c r="G834">
        <v>10000</v>
      </c>
      <c r="H834">
        <v>543481.93723486573</v>
      </c>
      <c r="I834">
        <v>40.510108796532165</v>
      </c>
    </row>
    <row r="835" spans="1:9" x14ac:dyDescent="0.2">
      <c r="A835">
        <v>825</v>
      </c>
      <c r="B835">
        <v>1185858.5229108513</v>
      </c>
      <c r="C835">
        <v>112288.38439725661</v>
      </c>
      <c r="D835">
        <v>86307.571281248951</v>
      </c>
      <c r="E835">
        <v>95709.452865816624</v>
      </c>
      <c r="F835">
        <v>42626.039044556535</v>
      </c>
      <c r="G835">
        <v>10000</v>
      </c>
      <c r="H835">
        <v>326931.44758887874</v>
      </c>
      <c r="I835">
        <v>40.533529181995632</v>
      </c>
    </row>
    <row r="836" spans="1:9" x14ac:dyDescent="0.2">
      <c r="A836">
        <v>826</v>
      </c>
      <c r="B836">
        <v>1627367.7052783577</v>
      </c>
      <c r="C836">
        <v>161391.38762125498</v>
      </c>
      <c r="D836">
        <v>98516.888257047598</v>
      </c>
      <c r="E836">
        <v>151533.74861745044</v>
      </c>
      <c r="F836">
        <v>46490.797981208103</v>
      </c>
      <c r="G836">
        <v>10000</v>
      </c>
      <c r="H836">
        <v>447932.82247696107</v>
      </c>
      <c r="I836">
        <v>42.070414917488932</v>
      </c>
    </row>
    <row r="837" spans="1:9" x14ac:dyDescent="0.2">
      <c r="A837">
        <v>827</v>
      </c>
      <c r="B837">
        <v>1084802.9235539127</v>
      </c>
      <c r="C837">
        <v>86690.34328804299</v>
      </c>
      <c r="D837">
        <v>98600.706215693644</v>
      </c>
      <c r="E837">
        <v>82250.520518831603</v>
      </c>
      <c r="F837">
        <v>41694.266805149884</v>
      </c>
      <c r="G837">
        <v>10000</v>
      </c>
      <c r="H837">
        <v>299235.83682771813</v>
      </c>
      <c r="I837">
        <v>37.466163802987843</v>
      </c>
    </row>
    <row r="838" spans="1:9" x14ac:dyDescent="0.2">
      <c r="A838">
        <v>828</v>
      </c>
      <c r="B838">
        <v>1247280.0732786157</v>
      </c>
      <c r="C838">
        <v>106358.49620156837</v>
      </c>
      <c r="D838">
        <v>73559.428782091578</v>
      </c>
      <c r="E838">
        <v>128921.56401546091</v>
      </c>
      <c r="F838">
        <v>44925.339047224217</v>
      </c>
      <c r="G838">
        <v>10000</v>
      </c>
      <c r="H838">
        <v>343764.82804634504</v>
      </c>
      <c r="I838">
        <v>45.851307384640066</v>
      </c>
    </row>
    <row r="839" spans="1:9" x14ac:dyDescent="0.2">
      <c r="A839">
        <v>829</v>
      </c>
      <c r="B839">
        <v>1351123.1291460127</v>
      </c>
      <c r="C839">
        <v>98112.908921869486</v>
      </c>
      <c r="D839">
        <v>102096.17445314875</v>
      </c>
      <c r="E839">
        <v>136561.06670774971</v>
      </c>
      <c r="F839">
        <v>45454.227695151902</v>
      </c>
      <c r="G839">
        <v>10000</v>
      </c>
      <c r="H839">
        <v>372224.37777791987</v>
      </c>
      <c r="I839">
        <v>39.395920263175583</v>
      </c>
    </row>
    <row r="840" spans="1:9" x14ac:dyDescent="0.2">
      <c r="A840">
        <v>830</v>
      </c>
      <c r="B840">
        <v>1294337.679874226</v>
      </c>
      <c r="C840">
        <v>105221.47745241478</v>
      </c>
      <c r="D840">
        <v>96757.836502646562</v>
      </c>
      <c r="E840">
        <v>120350.32221621447</v>
      </c>
      <c r="F840">
        <v>44331.945384199469</v>
      </c>
      <c r="G840">
        <v>10000</v>
      </c>
      <c r="H840">
        <v>356661.58155547525</v>
      </c>
      <c r="I840">
        <v>26.782211094918935</v>
      </c>
    </row>
    <row r="841" spans="1:9" x14ac:dyDescent="0.2">
      <c r="A841">
        <v>831</v>
      </c>
      <c r="B841">
        <v>1908511.0695738816</v>
      </c>
      <c r="C841">
        <v>141810.31896862737</v>
      </c>
      <c r="D841">
        <v>160094.19794885055</v>
      </c>
      <c r="E841">
        <v>184318.79534023537</v>
      </c>
      <c r="F841">
        <v>48760.531985093221</v>
      </c>
      <c r="G841">
        <v>10000</v>
      </c>
      <c r="H841">
        <v>524983.84424280655</v>
      </c>
      <c r="I841">
        <v>27.226532678427386</v>
      </c>
    </row>
    <row r="842" spans="1:9" x14ac:dyDescent="0.2">
      <c r="A842">
        <v>832</v>
      </c>
      <c r="B842">
        <v>961305.36811025126</v>
      </c>
      <c r="C842">
        <v>90930.926246601201</v>
      </c>
      <c r="D842">
        <v>88610.640902381201</v>
      </c>
      <c r="E842">
        <v>55973.0870083345</v>
      </c>
      <c r="F842">
        <v>39875.059869807774</v>
      </c>
      <c r="G842">
        <v>10000</v>
      </c>
      <c r="H842">
        <v>265389.71402712469</v>
      </c>
      <c r="I842">
        <v>25.564180739809537</v>
      </c>
    </row>
    <row r="843" spans="1:9" x14ac:dyDescent="0.2">
      <c r="A843">
        <v>833</v>
      </c>
      <c r="B843">
        <v>1569758.7235379014</v>
      </c>
      <c r="C843">
        <v>124889.44870389831</v>
      </c>
      <c r="D843">
        <v>138639.52249540677</v>
      </c>
      <c r="E843">
        <v>133381.26744807052</v>
      </c>
      <c r="F843">
        <v>45234.087746404875</v>
      </c>
      <c r="G843">
        <v>10000</v>
      </c>
      <c r="H843">
        <v>432144.32639378047</v>
      </c>
      <c r="I843">
        <v>37.675180132934841</v>
      </c>
    </row>
    <row r="844" spans="1:9" x14ac:dyDescent="0.2">
      <c r="A844">
        <v>834</v>
      </c>
      <c r="B844">
        <v>1169524.9799086195</v>
      </c>
      <c r="C844">
        <v>150097.84556336698</v>
      </c>
      <c r="D844">
        <v>92070.683359695759</v>
      </c>
      <c r="E844">
        <v>50771.544188880165</v>
      </c>
      <c r="F844">
        <v>39514.953059230167</v>
      </c>
      <c r="G844">
        <v>10000</v>
      </c>
      <c r="H844">
        <v>322455.02617117309</v>
      </c>
      <c r="I844">
        <v>49.91750776712572</v>
      </c>
    </row>
    <row r="845" spans="1:9" x14ac:dyDescent="0.2">
      <c r="A845">
        <v>835</v>
      </c>
      <c r="B845">
        <v>1364787.5985321144</v>
      </c>
      <c r="C845">
        <v>85838.74834177077</v>
      </c>
      <c r="D845">
        <v>67748.932520453731</v>
      </c>
      <c r="E845">
        <v>183666.26681272202</v>
      </c>
      <c r="F845">
        <v>48715.35693318845</v>
      </c>
      <c r="G845">
        <v>10000</v>
      </c>
      <c r="H845">
        <v>375969.30460813496</v>
      </c>
      <c r="I845">
        <v>34.87054057469782</v>
      </c>
    </row>
    <row r="846" spans="1:9" x14ac:dyDescent="0.2">
      <c r="A846">
        <v>836</v>
      </c>
      <c r="B846">
        <v>995378.76375443896</v>
      </c>
      <c r="C846">
        <v>107085.6704014011</v>
      </c>
      <c r="D846">
        <v>92315.691827659015</v>
      </c>
      <c r="E846">
        <v>46132.802788118483</v>
      </c>
      <c r="F846">
        <v>39193.809423792816</v>
      </c>
      <c r="G846">
        <v>10000</v>
      </c>
      <c r="H846">
        <v>274727.97444097139</v>
      </c>
      <c r="I846">
        <v>37.755144546810648</v>
      </c>
    </row>
    <row r="847" spans="1:9" x14ac:dyDescent="0.2">
      <c r="A847">
        <v>837</v>
      </c>
      <c r="B847">
        <v>1384201.4490152218</v>
      </c>
      <c r="C847">
        <v>86948.637719970327</v>
      </c>
      <c r="D847">
        <v>71334.155252901081</v>
      </c>
      <c r="E847">
        <v>184251.2742218409</v>
      </c>
      <c r="F847">
        <v>48755.857446127447</v>
      </c>
      <c r="G847">
        <v>10000</v>
      </c>
      <c r="H847">
        <v>381289.92464083974</v>
      </c>
      <c r="I847">
        <v>31.660158996555531</v>
      </c>
    </row>
    <row r="848" spans="1:9" x14ac:dyDescent="0.2">
      <c r="A848">
        <v>838</v>
      </c>
      <c r="B848">
        <v>1250876.0811008846</v>
      </c>
      <c r="C848">
        <v>142677.73108351009</v>
      </c>
      <c r="D848">
        <v>98248.440525252794</v>
      </c>
      <c r="E848">
        <v>72785.213188768437</v>
      </c>
      <c r="F848">
        <v>41038.97629768397</v>
      </c>
      <c r="G848">
        <v>10000</v>
      </c>
      <c r="H848">
        <v>344750.36109521525</v>
      </c>
      <c r="I848">
        <v>32.749572958597241</v>
      </c>
    </row>
    <row r="849" spans="1:9" x14ac:dyDescent="0.2">
      <c r="A849">
        <v>839</v>
      </c>
      <c r="B849">
        <v>1752623.4317098591</v>
      </c>
      <c r="C849">
        <v>158782.03750303696</v>
      </c>
      <c r="D849">
        <v>102889.2015594198</v>
      </c>
      <c r="E849">
        <v>181990.23223500495</v>
      </c>
      <c r="F849">
        <v>48599.323770115727</v>
      </c>
      <c r="G849">
        <v>10000</v>
      </c>
      <c r="H849">
        <v>482260.79506757745</v>
      </c>
      <c r="I849">
        <v>28.188455499233847</v>
      </c>
    </row>
    <row r="850" spans="1:9" x14ac:dyDescent="0.2">
      <c r="A850">
        <v>840</v>
      </c>
      <c r="B850">
        <v>1380016.0909965173</v>
      </c>
      <c r="C850">
        <v>123454.71037173379</v>
      </c>
      <c r="D850">
        <v>70867.224587226563</v>
      </c>
      <c r="E850">
        <v>149472.81923675034</v>
      </c>
      <c r="F850">
        <v>46348.11825485195</v>
      </c>
      <c r="G850">
        <v>10000</v>
      </c>
      <c r="H850">
        <v>380142.8724505626</v>
      </c>
      <c r="I850">
        <v>36.647575757284287</v>
      </c>
    </row>
    <row r="851" spans="1:9" x14ac:dyDescent="0.2">
      <c r="A851">
        <v>841</v>
      </c>
      <c r="B851">
        <v>1487286.398899833</v>
      </c>
      <c r="C851">
        <v>144598.28527612649</v>
      </c>
      <c r="D851">
        <v>114874.68691164113</v>
      </c>
      <c r="E851">
        <v>116035.50597282806</v>
      </c>
      <c r="F851">
        <v>44033.227336580407</v>
      </c>
      <c r="G851">
        <v>10000</v>
      </c>
      <c r="H851">
        <v>409541.7054971761</v>
      </c>
      <c r="I851">
        <v>42.449601759769983</v>
      </c>
    </row>
    <row r="852" spans="1:9" x14ac:dyDescent="0.2">
      <c r="A852">
        <v>842</v>
      </c>
      <c r="B852">
        <v>1239988.0083408258</v>
      </c>
      <c r="C852">
        <v>142852.35874089148</v>
      </c>
      <c r="D852">
        <v>68149.744854483753</v>
      </c>
      <c r="E852">
        <v>97980.942513661648</v>
      </c>
      <c r="F852">
        <v>42783.296020176575</v>
      </c>
      <c r="G852">
        <v>10000</v>
      </c>
      <c r="H852">
        <v>341766.34212921344</v>
      </c>
      <c r="I852">
        <v>34.173330897835015</v>
      </c>
    </row>
    <row r="853" spans="1:9" x14ac:dyDescent="0.2">
      <c r="A853">
        <v>843</v>
      </c>
      <c r="B853">
        <v>1534841.4291426763</v>
      </c>
      <c r="C853">
        <v>109453.51596815429</v>
      </c>
      <c r="D853">
        <v>94043.678449350933</v>
      </c>
      <c r="E853">
        <v>180576.16336100246</v>
      </c>
      <c r="F853">
        <v>48501.426694223243</v>
      </c>
      <c r="G853">
        <v>10000</v>
      </c>
      <c r="H853">
        <v>422574.78447273094</v>
      </c>
      <c r="I853">
        <v>32.090059749893598</v>
      </c>
    </row>
    <row r="854" spans="1:9" x14ac:dyDescent="0.2">
      <c r="A854">
        <v>844</v>
      </c>
      <c r="B854">
        <v>1292503.7869659227</v>
      </c>
      <c r="C854">
        <v>89699.506460278964</v>
      </c>
      <c r="D854">
        <v>133198.5965291466</v>
      </c>
      <c r="E854">
        <v>100315.9273736444</v>
      </c>
      <c r="F854">
        <v>42944.948818175377</v>
      </c>
      <c r="G854">
        <v>10000</v>
      </c>
      <c r="H854">
        <v>356158.97918124532</v>
      </c>
      <c r="I854">
        <v>30.609974181935499</v>
      </c>
    </row>
    <row r="855" spans="1:9" x14ac:dyDescent="0.2">
      <c r="A855">
        <v>845</v>
      </c>
      <c r="B855">
        <v>1820180.5172291454</v>
      </c>
      <c r="C855">
        <v>110524.56823634378</v>
      </c>
      <c r="D855">
        <v>154350.8912233673</v>
      </c>
      <c r="E855">
        <v>196309.57683327494</v>
      </c>
      <c r="F855">
        <v>49590.663011534416</v>
      </c>
      <c r="G855">
        <v>10000</v>
      </c>
      <c r="H855">
        <v>500775.69930452044</v>
      </c>
      <c r="I855">
        <v>40.585989757363109</v>
      </c>
    </row>
    <row r="856" spans="1:9" x14ac:dyDescent="0.2">
      <c r="A856">
        <v>846</v>
      </c>
      <c r="B856">
        <v>1400251.39060553</v>
      </c>
      <c r="C856">
        <v>155777.30903055603</v>
      </c>
      <c r="D856">
        <v>115411.37281506974</v>
      </c>
      <c r="E856">
        <v>82769.727618923382</v>
      </c>
      <c r="F856">
        <v>41730.211912079307</v>
      </c>
      <c r="G856">
        <v>10000</v>
      </c>
      <c r="H856">
        <v>385688.62137662846</v>
      </c>
      <c r="I856">
        <v>38.110053672097258</v>
      </c>
    </row>
    <row r="857" spans="1:9" x14ac:dyDescent="0.2">
      <c r="A857">
        <v>847</v>
      </c>
      <c r="B857">
        <v>917855.13211117242</v>
      </c>
      <c r="C857">
        <v>114074.95483743672</v>
      </c>
      <c r="D857">
        <v>70861.138758788016</v>
      </c>
      <c r="E857">
        <v>39790.768571296598</v>
      </c>
      <c r="F857">
        <v>38754.745516474381</v>
      </c>
      <c r="G857">
        <v>10000</v>
      </c>
      <c r="H857">
        <v>253481.60768399568</v>
      </c>
      <c r="I857">
        <v>31.763004343097993</v>
      </c>
    </row>
    <row r="858" spans="1:9" x14ac:dyDescent="0.2">
      <c r="A858">
        <v>848</v>
      </c>
      <c r="B858">
        <v>1340157.4416247201</v>
      </c>
      <c r="C858">
        <v>107675.80332147576</v>
      </c>
      <c r="D858">
        <v>56063.479782860253</v>
      </c>
      <c r="E858">
        <v>167858.80983830013</v>
      </c>
      <c r="F858">
        <v>47620.994527266936</v>
      </c>
      <c r="G858">
        <v>10000</v>
      </c>
      <c r="H858">
        <v>369219.08746990305</v>
      </c>
      <c r="I858">
        <v>38.584392461837254</v>
      </c>
    </row>
    <row r="859" spans="1:9" x14ac:dyDescent="0.2">
      <c r="A859">
        <v>849</v>
      </c>
      <c r="B859">
        <v>1327549.2589666422</v>
      </c>
      <c r="C859">
        <v>95946.201758565876</v>
      </c>
      <c r="D859">
        <v>122406.8098492399</v>
      </c>
      <c r="E859">
        <v>113549.51778432008</v>
      </c>
      <c r="F859">
        <v>43861.120461991391</v>
      </c>
      <c r="G859">
        <v>10000</v>
      </c>
      <c r="H859">
        <v>365763.64985411731</v>
      </c>
      <c r="I859">
        <v>33.018046569104484</v>
      </c>
    </row>
    <row r="860" spans="1:9" x14ac:dyDescent="0.2">
      <c r="A860">
        <v>850</v>
      </c>
      <c r="B860">
        <v>1011011.8104436661</v>
      </c>
      <c r="C860">
        <v>112455.12607499991</v>
      </c>
      <c r="D860">
        <v>80920.427168280992</v>
      </c>
      <c r="E860">
        <v>55775.482843345111</v>
      </c>
      <c r="F860">
        <v>39861.379581462352</v>
      </c>
      <c r="G860">
        <v>10000</v>
      </c>
      <c r="H860">
        <v>279012.41566808836</v>
      </c>
      <c r="I860">
        <v>25.705494859774788</v>
      </c>
    </row>
    <row r="861" spans="1:9" x14ac:dyDescent="0.2">
      <c r="A861">
        <v>851</v>
      </c>
      <c r="B861">
        <v>1425582.9384165965</v>
      </c>
      <c r="C861">
        <v>116223.15410461224</v>
      </c>
      <c r="D861">
        <v>126930.18372109708</v>
      </c>
      <c r="E861">
        <v>115482.76537427341</v>
      </c>
      <c r="F861">
        <v>43994.960679757387</v>
      </c>
      <c r="G861">
        <v>10000</v>
      </c>
      <c r="H861">
        <v>392631.06387974013</v>
      </c>
      <c r="I861">
        <v>46.198155466023742</v>
      </c>
    </row>
    <row r="862" spans="1:9" x14ac:dyDescent="0.2">
      <c r="A862">
        <v>852</v>
      </c>
      <c r="B862">
        <v>1575462.6541831025</v>
      </c>
      <c r="C862">
        <v>88505.823842646365</v>
      </c>
      <c r="D862">
        <v>124328.24075805282</v>
      </c>
      <c r="E862">
        <v>182255.79015471257</v>
      </c>
      <c r="F862">
        <v>48617.708549172406</v>
      </c>
      <c r="G862">
        <v>10000</v>
      </c>
      <c r="H862">
        <v>433707.56330458412</v>
      </c>
      <c r="I862">
        <v>32.62498789295509</v>
      </c>
    </row>
    <row r="863" spans="1:9" x14ac:dyDescent="0.2">
      <c r="A863">
        <v>853</v>
      </c>
      <c r="B863">
        <v>1395485.1344266119</v>
      </c>
      <c r="C863">
        <v>94087.112126949505</v>
      </c>
      <c r="D863">
        <v>77808.903535825142</v>
      </c>
      <c r="E863">
        <v>174411.6949679394</v>
      </c>
      <c r="F863">
        <v>48074.655805472728</v>
      </c>
      <c r="G863">
        <v>10000</v>
      </c>
      <c r="H863">
        <v>384382.36643618683</v>
      </c>
      <c r="I863">
        <v>27.88195976893142</v>
      </c>
    </row>
    <row r="864" spans="1:9" x14ac:dyDescent="0.2">
      <c r="A864">
        <v>854</v>
      </c>
      <c r="B864">
        <v>1307701.3626100372</v>
      </c>
      <c r="C864">
        <v>145294.40316884156</v>
      </c>
      <c r="D864">
        <v>61109.325409044206</v>
      </c>
      <c r="E864">
        <v>119637.73300148069</v>
      </c>
      <c r="F864">
        <v>44282.612284717892</v>
      </c>
      <c r="G864">
        <v>10000</v>
      </c>
      <c r="H864">
        <v>360324.07386408438</v>
      </c>
      <c r="I864">
        <v>31.961712835658361</v>
      </c>
    </row>
    <row r="865" spans="1:9" x14ac:dyDescent="0.2">
      <c r="A865">
        <v>855</v>
      </c>
      <c r="B865">
        <v>1580521.2459114282</v>
      </c>
      <c r="C865">
        <v>153956.80212997133</v>
      </c>
      <c r="D865">
        <v>84860.052242761885</v>
      </c>
      <c r="E865">
        <v>159251.94743647307</v>
      </c>
      <c r="F865">
        <v>47025.134822525062</v>
      </c>
      <c r="G865">
        <v>10000</v>
      </c>
      <c r="H865">
        <v>435093.93663173134</v>
      </c>
      <c r="I865">
        <v>29.406280283996029</v>
      </c>
    </row>
    <row r="866" spans="1:9" x14ac:dyDescent="0.2">
      <c r="A866">
        <v>856</v>
      </c>
      <c r="B866">
        <v>1319670.6528373461</v>
      </c>
      <c r="C866">
        <v>140918.2535003589</v>
      </c>
      <c r="D866">
        <v>40300.951204195408</v>
      </c>
      <c r="E866">
        <v>146259.54886065301</v>
      </c>
      <c r="F866">
        <v>46125.661074968288</v>
      </c>
      <c r="G866">
        <v>10000</v>
      </c>
      <c r="H866">
        <v>363604.41464017564</v>
      </c>
      <c r="I866">
        <v>33.875498399140611</v>
      </c>
    </row>
    <row r="867" spans="1:9" x14ac:dyDescent="0.2">
      <c r="A867">
        <v>857</v>
      </c>
      <c r="B867">
        <v>1084571.0964740033</v>
      </c>
      <c r="C867">
        <v>139775.79235775108</v>
      </c>
      <c r="D867">
        <v>74421.083337124132</v>
      </c>
      <c r="E867">
        <v>55156.873129689404</v>
      </c>
      <c r="F867">
        <v>39818.552755132347</v>
      </c>
      <c r="G867">
        <v>10000</v>
      </c>
      <c r="H867">
        <v>299172.30157969694</v>
      </c>
      <c r="I867">
        <v>41.979712410885043</v>
      </c>
    </row>
    <row r="868" spans="1:9" x14ac:dyDescent="0.2">
      <c r="A868">
        <v>858</v>
      </c>
      <c r="B868">
        <v>873464.0063362912</v>
      </c>
      <c r="C868">
        <v>116362.971189887</v>
      </c>
      <c r="D868">
        <v>55342.798015069093</v>
      </c>
      <c r="E868">
        <v>40786.208387204046</v>
      </c>
      <c r="F868">
        <v>38823.660580652591</v>
      </c>
      <c r="G868">
        <v>10000</v>
      </c>
      <c r="H868">
        <v>241315.63817281273</v>
      </c>
      <c r="I868">
        <v>30.562425962195</v>
      </c>
    </row>
    <row r="869" spans="1:9" x14ac:dyDescent="0.2">
      <c r="A869">
        <v>859</v>
      </c>
      <c r="B869">
        <v>1490404.991062202</v>
      </c>
      <c r="C869">
        <v>131554.17393005494</v>
      </c>
      <c r="D869">
        <v>32688.456865149485</v>
      </c>
      <c r="E869">
        <v>205899.20536407715</v>
      </c>
      <c r="F869">
        <v>50254.560371359185</v>
      </c>
      <c r="G869">
        <v>10000</v>
      </c>
      <c r="H869">
        <v>410396.39653064072</v>
      </c>
      <c r="I869">
        <v>32.700263892541273</v>
      </c>
    </row>
    <row r="870" spans="1:9" x14ac:dyDescent="0.2">
      <c r="A870">
        <v>860</v>
      </c>
      <c r="B870">
        <v>1661818.6531623541</v>
      </c>
      <c r="C870">
        <v>125041.30460071936</v>
      </c>
      <c r="D870">
        <v>120654.30578805898</v>
      </c>
      <c r="E870">
        <v>173656.56786383005</v>
      </c>
      <c r="F870">
        <v>48022.37777518823</v>
      </c>
      <c r="G870">
        <v>10000</v>
      </c>
      <c r="H870">
        <v>457374.55602779664</v>
      </c>
      <c r="I870">
        <v>33.116032195457059</v>
      </c>
    </row>
    <row r="871" spans="1:9" x14ac:dyDescent="0.2">
      <c r="A871">
        <v>861</v>
      </c>
      <c r="B871">
        <v>1347670.486949939</v>
      </c>
      <c r="C871">
        <v>110135.40829394864</v>
      </c>
      <c r="D871">
        <v>67286.043474396865</v>
      </c>
      <c r="E871">
        <v>156988.26578785441</v>
      </c>
      <c r="F871">
        <v>46868.418400697614</v>
      </c>
      <c r="G871">
        <v>10000</v>
      </c>
      <c r="H871">
        <v>371278.13595689752</v>
      </c>
      <c r="I871">
        <v>33.432009786036062</v>
      </c>
    </row>
    <row r="872" spans="1:9" x14ac:dyDescent="0.2">
      <c r="A872">
        <v>862</v>
      </c>
      <c r="B872">
        <v>989192.9916370291</v>
      </c>
      <c r="C872">
        <v>102950.02298340351</v>
      </c>
      <c r="D872">
        <v>113110.67547100504</v>
      </c>
      <c r="E872">
        <v>28966.603842496497</v>
      </c>
      <c r="F872">
        <v>38005.38026601899</v>
      </c>
      <c r="G872">
        <v>10000</v>
      </c>
      <c r="H872">
        <v>273032.68256292405</v>
      </c>
      <c r="I872">
        <v>35.718878833455179</v>
      </c>
    </row>
    <row r="873" spans="1:9" x14ac:dyDescent="0.2">
      <c r="A873">
        <v>863</v>
      </c>
      <c r="B873">
        <v>955738.70583099488</v>
      </c>
      <c r="C873">
        <v>118006.56424894478</v>
      </c>
      <c r="D873">
        <v>53656.451345488415</v>
      </c>
      <c r="E873">
        <v>61914.680741296819</v>
      </c>
      <c r="F873">
        <v>40286.400974397475</v>
      </c>
      <c r="G873">
        <v>10000</v>
      </c>
      <c r="H873">
        <v>263864.09731012746</v>
      </c>
      <c r="I873">
        <v>38.090653843325001</v>
      </c>
    </row>
    <row r="874" spans="1:9" x14ac:dyDescent="0.2">
      <c r="A874">
        <v>864</v>
      </c>
      <c r="B874">
        <v>951475.63990776089</v>
      </c>
      <c r="C874">
        <v>101915.91517300173</v>
      </c>
      <c r="D874">
        <v>75578.214714261732</v>
      </c>
      <c r="E874">
        <v>55368.420052130255</v>
      </c>
      <c r="F874">
        <v>39833.198311301327</v>
      </c>
      <c r="G874">
        <v>10000</v>
      </c>
      <c r="H874">
        <v>262695.74825069506</v>
      </c>
      <c r="I874">
        <v>29.978240169925584</v>
      </c>
    </row>
    <row r="875" spans="1:9" x14ac:dyDescent="0.2">
      <c r="A875">
        <v>865</v>
      </c>
      <c r="B875">
        <v>996185.33034734579</v>
      </c>
      <c r="C875">
        <v>102354.69721174301</v>
      </c>
      <c r="D875">
        <v>103941.78338310187</v>
      </c>
      <c r="E875">
        <v>39890.868476459829</v>
      </c>
      <c r="F875">
        <v>38761.67550990876</v>
      </c>
      <c r="G875">
        <v>10000</v>
      </c>
      <c r="H875">
        <v>274949.02458121348</v>
      </c>
      <c r="I875">
        <v>29.62204464524963</v>
      </c>
    </row>
    <row r="876" spans="1:9" x14ac:dyDescent="0.2">
      <c r="A876">
        <v>866</v>
      </c>
      <c r="B876">
        <v>1009418.3953583589</v>
      </c>
      <c r="C876">
        <v>93530.842259727753</v>
      </c>
      <c r="D876">
        <v>79705.052675749786</v>
      </c>
      <c r="E876">
        <v>74202.71351987253</v>
      </c>
      <c r="F876">
        <v>41137.110935991179</v>
      </c>
      <c r="G876">
        <v>10000</v>
      </c>
      <c r="H876">
        <v>278575.7193913412</v>
      </c>
      <c r="I876">
        <v>41.316680902893339</v>
      </c>
    </row>
    <row r="877" spans="1:9" x14ac:dyDescent="0.2">
      <c r="A877">
        <v>867</v>
      </c>
      <c r="B877">
        <v>1520348.6189012418</v>
      </c>
      <c r="C877">
        <v>101446.1539375163</v>
      </c>
      <c r="D877">
        <v>111589.33528261873</v>
      </c>
      <c r="E877">
        <v>167940.68776142542</v>
      </c>
      <c r="F877">
        <v>47626.662998867912</v>
      </c>
      <c r="G877">
        <v>10000</v>
      </c>
      <c r="H877">
        <v>418602.83998042834</v>
      </c>
      <c r="I877">
        <v>35.433507270556916</v>
      </c>
    </row>
    <row r="878" spans="1:9" x14ac:dyDescent="0.2">
      <c r="A878">
        <v>868</v>
      </c>
      <c r="B878">
        <v>1185223.5742411285</v>
      </c>
      <c r="C878">
        <v>98421.096616205832</v>
      </c>
      <c r="D878">
        <v>57450.418096597416</v>
      </c>
      <c r="E878">
        <v>135504.81434423252</v>
      </c>
      <c r="F878">
        <v>45381.102531523786</v>
      </c>
      <c r="G878">
        <v>10000</v>
      </c>
      <c r="H878">
        <v>326757.43158855953</v>
      </c>
      <c r="I878">
        <v>32.553777778198921</v>
      </c>
    </row>
    <row r="879" spans="1:9" x14ac:dyDescent="0.2">
      <c r="A879">
        <v>869</v>
      </c>
      <c r="B879">
        <v>1237599.0116751362</v>
      </c>
      <c r="C879">
        <v>94324.138050488662</v>
      </c>
      <c r="D879">
        <v>106226.48010416992</v>
      </c>
      <c r="E879">
        <v>107143.37020675318</v>
      </c>
      <c r="F879">
        <v>43417.617937390605</v>
      </c>
      <c r="G879">
        <v>10000</v>
      </c>
      <c r="H879">
        <v>341111.60629880242</v>
      </c>
      <c r="I879">
        <v>50.905849183942806</v>
      </c>
    </row>
    <row r="880" spans="1:9" x14ac:dyDescent="0.2">
      <c r="A880">
        <v>870</v>
      </c>
      <c r="B880">
        <v>1604510.0137305632</v>
      </c>
      <c r="C880">
        <v>157050.94046095313</v>
      </c>
      <c r="D880">
        <v>119079.9174144001</v>
      </c>
      <c r="E880">
        <v>130502.71169582279</v>
      </c>
      <c r="F880">
        <v>45034.803117403113</v>
      </c>
      <c r="G880">
        <v>10000</v>
      </c>
      <c r="H880">
        <v>441668.37268857914</v>
      </c>
      <c r="I880">
        <v>27.077622799147392</v>
      </c>
    </row>
    <row r="881" spans="1:9" x14ac:dyDescent="0.2">
      <c r="A881">
        <v>871</v>
      </c>
      <c r="B881">
        <v>1471428.8241813891</v>
      </c>
      <c r="C881">
        <v>119091.33764327389</v>
      </c>
      <c r="D881">
        <v>101229.74144954288</v>
      </c>
      <c r="E881">
        <v>148587.8024666034</v>
      </c>
      <c r="F881">
        <v>46286.847863072544</v>
      </c>
      <c r="G881">
        <v>10000</v>
      </c>
      <c r="H881">
        <v>405195.72942249267</v>
      </c>
      <c r="I881">
        <v>46.530312130398428</v>
      </c>
    </row>
    <row r="882" spans="1:9" x14ac:dyDescent="0.2">
      <c r="A882">
        <v>872</v>
      </c>
      <c r="B882">
        <v>1125400.8357984025</v>
      </c>
      <c r="C882">
        <v>79766.747261817451</v>
      </c>
      <c r="D882">
        <v>138518.39076587808</v>
      </c>
      <c r="E882">
        <v>61798.715821006146</v>
      </c>
      <c r="F882">
        <v>40278.372633761966</v>
      </c>
      <c r="G882">
        <v>10000</v>
      </c>
      <c r="H882">
        <v>310362.22648246365</v>
      </c>
      <c r="I882">
        <v>28.95403465744856</v>
      </c>
    </row>
    <row r="883" spans="1:9" x14ac:dyDescent="0.2">
      <c r="A883">
        <v>873</v>
      </c>
      <c r="B883">
        <v>974890.59318800375</v>
      </c>
      <c r="C883">
        <v>114485.26686846389</v>
      </c>
      <c r="D883">
        <v>51164.39230434096</v>
      </c>
      <c r="E883">
        <v>72447.656738793637</v>
      </c>
      <c r="F883">
        <v>41015.607004993406</v>
      </c>
      <c r="G883">
        <v>10000</v>
      </c>
      <c r="H883">
        <v>269112.92291659192</v>
      </c>
      <c r="I883">
        <v>38.525556717526911</v>
      </c>
    </row>
    <row r="884" spans="1:9" x14ac:dyDescent="0.2">
      <c r="A884">
        <v>874</v>
      </c>
      <c r="B884">
        <v>1073522.3983493706</v>
      </c>
      <c r="C884">
        <v>102406.1128443551</v>
      </c>
      <c r="D884">
        <v>105033.62338543385</v>
      </c>
      <c r="E884">
        <v>58644.519689399123</v>
      </c>
      <c r="F884">
        <v>40060.005209266092</v>
      </c>
      <c r="G884">
        <v>10000</v>
      </c>
      <c r="H884">
        <v>296144.26112845418</v>
      </c>
      <c r="I884">
        <v>31.412263901925456</v>
      </c>
    </row>
    <row r="885" spans="1:9" x14ac:dyDescent="0.2">
      <c r="A885">
        <v>875</v>
      </c>
      <c r="B885">
        <v>1153365.802983653</v>
      </c>
      <c r="C885">
        <v>76825.149432900595</v>
      </c>
      <c r="D885">
        <v>76341.483317361024</v>
      </c>
      <c r="E885">
        <v>129868.83964315064</v>
      </c>
      <c r="F885">
        <v>44990.919667602735</v>
      </c>
      <c r="G885">
        <v>10000</v>
      </c>
      <c r="H885">
        <v>318026.39206101501</v>
      </c>
      <c r="I885">
        <v>27.919742681397281</v>
      </c>
    </row>
    <row r="886" spans="1:9" x14ac:dyDescent="0.2">
      <c r="A886">
        <v>876</v>
      </c>
      <c r="B886">
        <v>992352.67856829055</v>
      </c>
      <c r="C886">
        <v>108307.37798385179</v>
      </c>
      <c r="D886">
        <v>54294.09845076326</v>
      </c>
      <c r="E886">
        <v>79774.322041691863</v>
      </c>
      <c r="F886">
        <v>41522.837679809432</v>
      </c>
      <c r="G886">
        <v>10000</v>
      </c>
      <c r="H886">
        <v>273898.63615611638</v>
      </c>
      <c r="I886">
        <v>43.867794139104284</v>
      </c>
    </row>
    <row r="887" spans="1:9" x14ac:dyDescent="0.2">
      <c r="A887">
        <v>877</v>
      </c>
      <c r="B887">
        <v>1341504.2786143059</v>
      </c>
      <c r="C887">
        <v>162939.86278906613</v>
      </c>
      <c r="D887">
        <v>98495.777094862846</v>
      </c>
      <c r="E887">
        <v>76833.335019615552</v>
      </c>
      <c r="F887">
        <v>41319.230885973382</v>
      </c>
      <c r="G887">
        <v>10000</v>
      </c>
      <c r="H887">
        <v>369588.2057895179</v>
      </c>
      <c r="I887">
        <v>36.692257825987788</v>
      </c>
    </row>
    <row r="888" spans="1:9" x14ac:dyDescent="0.2">
      <c r="A888">
        <v>878</v>
      </c>
      <c r="B888">
        <v>1522027.9756495608</v>
      </c>
      <c r="C888">
        <v>109248.37999794139</v>
      </c>
      <c r="D888">
        <v>159638.07751160616</v>
      </c>
      <c r="E888">
        <v>116136.41859136499</v>
      </c>
      <c r="F888">
        <v>44040.213594786801</v>
      </c>
      <c r="G888">
        <v>10000</v>
      </c>
      <c r="H888">
        <v>419063.08969569934</v>
      </c>
      <c r="I888">
        <v>30.01348726275647</v>
      </c>
    </row>
    <row r="889" spans="1:9" x14ac:dyDescent="0.2">
      <c r="A889">
        <v>879</v>
      </c>
      <c r="B889">
        <v>1357867.569164956</v>
      </c>
      <c r="C889">
        <v>74363.263180943002</v>
      </c>
      <c r="D889">
        <v>116493.85107379119</v>
      </c>
      <c r="E889">
        <v>147036.23406845116</v>
      </c>
      <c r="F889">
        <v>46179.43158935431</v>
      </c>
      <c r="G889">
        <v>10000</v>
      </c>
      <c r="H889">
        <v>374072.77991253964</v>
      </c>
      <c r="I889">
        <v>28.36977844706762</v>
      </c>
    </row>
    <row r="890" spans="1:9" x14ac:dyDescent="0.2">
      <c r="A890">
        <v>880</v>
      </c>
      <c r="B890">
        <v>1540705.6558826654</v>
      </c>
      <c r="C890">
        <v>133011.15509016658</v>
      </c>
      <c r="D890">
        <v>70761.658212150302</v>
      </c>
      <c r="E890">
        <v>181821.49721114303</v>
      </c>
      <c r="F890">
        <v>48587.642114617593</v>
      </c>
      <c r="G890">
        <v>10000</v>
      </c>
      <c r="H890">
        <v>424181.95262807747</v>
      </c>
      <c r="I890">
        <v>35.616836315796533</v>
      </c>
    </row>
    <row r="891" spans="1:9" x14ac:dyDescent="0.2">
      <c r="A891">
        <v>881</v>
      </c>
      <c r="B891">
        <v>1244037.2946172785</v>
      </c>
      <c r="C891">
        <v>140898.74536801543</v>
      </c>
      <c r="D891">
        <v>74026.399186393392</v>
      </c>
      <c r="E891">
        <v>95349.816387176499</v>
      </c>
      <c r="F891">
        <v>42601.141134496829</v>
      </c>
      <c r="G891">
        <v>10000</v>
      </c>
      <c r="H891">
        <v>342876.10207608214</v>
      </c>
      <c r="I891">
        <v>47.934625185175399</v>
      </c>
    </row>
    <row r="892" spans="1:9" x14ac:dyDescent="0.2">
      <c r="A892">
        <v>882</v>
      </c>
      <c r="B892">
        <v>1214198.2093919977</v>
      </c>
      <c r="C892">
        <v>148063.99333768495</v>
      </c>
      <c r="D892">
        <v>49441.92947991829</v>
      </c>
      <c r="E892">
        <v>103992.88000421222</v>
      </c>
      <c r="F892">
        <v>43199.507077214686</v>
      </c>
      <c r="G892">
        <v>10000</v>
      </c>
      <c r="H892">
        <v>334698.30989903014</v>
      </c>
      <c r="I892">
        <v>27.552022079384905</v>
      </c>
    </row>
    <row r="893" spans="1:9" x14ac:dyDescent="0.2">
      <c r="A893">
        <v>883</v>
      </c>
      <c r="B893">
        <v>1124403.2939331152</v>
      </c>
      <c r="C893">
        <v>153585.91217432468</v>
      </c>
      <c r="D893">
        <v>54635.856095778858</v>
      </c>
      <c r="E893">
        <v>70954.812544031694</v>
      </c>
      <c r="F893">
        <v>40912.256253048348</v>
      </c>
      <c r="G893">
        <v>10000</v>
      </c>
      <c r="H893">
        <v>310088.83706718363</v>
      </c>
      <c r="I893">
        <v>37.585715495809296</v>
      </c>
    </row>
    <row r="894" spans="1:9" x14ac:dyDescent="0.2">
      <c r="A894">
        <v>884</v>
      </c>
      <c r="B894">
        <v>1329402.9916993827</v>
      </c>
      <c r="C894">
        <v>159287.83763000314</v>
      </c>
      <c r="D894">
        <v>77463.524448453391</v>
      </c>
      <c r="E894">
        <v>96817.572494795008</v>
      </c>
      <c r="F894">
        <v>42702.755018870419</v>
      </c>
      <c r="G894">
        <v>10000</v>
      </c>
      <c r="H894">
        <v>366271.68959212193</v>
      </c>
      <c r="I894">
        <v>36.565528849589398</v>
      </c>
    </row>
    <row r="895" spans="1:9" x14ac:dyDescent="0.2">
      <c r="A895">
        <v>885</v>
      </c>
      <c r="B895">
        <v>1451887.8553277976</v>
      </c>
      <c r="C895">
        <v>112854.82056006133</v>
      </c>
      <c r="D895">
        <v>54785.516780474449</v>
      </c>
      <c r="E895">
        <v>192848.8587575953</v>
      </c>
      <c r="F895">
        <v>49351.07483706429</v>
      </c>
      <c r="G895">
        <v>10000</v>
      </c>
      <c r="H895">
        <v>399840.27093519538</v>
      </c>
      <c r="I895">
        <v>35.580744529070451</v>
      </c>
    </row>
    <row r="896" spans="1:9" x14ac:dyDescent="0.2">
      <c r="A896">
        <v>886</v>
      </c>
      <c r="B896">
        <v>1102311.8951251809</v>
      </c>
      <c r="C896">
        <v>109501.89059442301</v>
      </c>
      <c r="D896">
        <v>115321.23040764243</v>
      </c>
      <c r="E896">
        <v>49765.944238841177</v>
      </c>
      <c r="F896">
        <v>39445.334601150542</v>
      </c>
      <c r="G896">
        <v>10000</v>
      </c>
      <c r="H896">
        <v>304034.39984205714</v>
      </c>
      <c r="I896">
        <v>32.772654817170832</v>
      </c>
    </row>
    <row r="897" spans="1:9" x14ac:dyDescent="0.2">
      <c r="A897">
        <v>887</v>
      </c>
      <c r="B897">
        <v>1427904.3955130849</v>
      </c>
      <c r="C897">
        <v>93167.379853282429</v>
      </c>
      <c r="D897">
        <v>63371.693259281572</v>
      </c>
      <c r="E897">
        <v>197083.94348352848</v>
      </c>
      <c r="F897">
        <v>49644.27301039813</v>
      </c>
      <c r="G897">
        <v>10000</v>
      </c>
      <c r="H897">
        <v>393267.28960649064</v>
      </c>
      <c r="I897">
        <v>31.183289122299286</v>
      </c>
    </row>
    <row r="898" spans="1:9" x14ac:dyDescent="0.2">
      <c r="A898">
        <v>888</v>
      </c>
      <c r="B898">
        <v>1143350.0701252331</v>
      </c>
      <c r="C898">
        <v>113722.87792956947</v>
      </c>
      <c r="D898">
        <v>89839.739145520711</v>
      </c>
      <c r="E898">
        <v>80168.691982812612</v>
      </c>
      <c r="F898">
        <v>41550.140214194726</v>
      </c>
      <c r="G898">
        <v>10000</v>
      </c>
      <c r="H898">
        <v>315281.4492720975</v>
      </c>
      <c r="I898">
        <v>32.119254922440177</v>
      </c>
    </row>
    <row r="899" spans="1:9" x14ac:dyDescent="0.2">
      <c r="A899">
        <v>889</v>
      </c>
      <c r="B899">
        <v>1318537.9032490617</v>
      </c>
      <c r="C899">
        <v>141556.9437861726</v>
      </c>
      <c r="D899">
        <v>75058.910938631161</v>
      </c>
      <c r="E899">
        <v>112864.42414979977</v>
      </c>
      <c r="F899">
        <v>43813.690902678449</v>
      </c>
      <c r="G899">
        <v>10000</v>
      </c>
      <c r="H899">
        <v>363293.96977728204</v>
      </c>
      <c r="I899">
        <v>37.59304453516863</v>
      </c>
    </row>
    <row r="900" spans="1:9" x14ac:dyDescent="0.2">
      <c r="A900">
        <v>890</v>
      </c>
      <c r="B900">
        <v>880731.25254430622</v>
      </c>
      <c r="C900">
        <v>101563.86491542534</v>
      </c>
      <c r="D900">
        <v>68643.747071712089</v>
      </c>
      <c r="E900">
        <v>44050.088680752116</v>
      </c>
      <c r="F900">
        <v>39049.621524052069</v>
      </c>
      <c r="G900">
        <v>10000</v>
      </c>
      <c r="H900">
        <v>243307.32219194161</v>
      </c>
      <c r="I900">
        <v>42.867722522065407</v>
      </c>
    </row>
    <row r="901" spans="1:9" x14ac:dyDescent="0.2">
      <c r="A901">
        <v>891</v>
      </c>
      <c r="B901">
        <v>1137696.8409910488</v>
      </c>
      <c r="C901">
        <v>131094.37687219039</v>
      </c>
      <c r="D901">
        <v>110158.82116090659</v>
      </c>
      <c r="E901">
        <v>43469.48393084811</v>
      </c>
      <c r="F901">
        <v>39009.425810597175</v>
      </c>
      <c r="G901">
        <v>10000</v>
      </c>
      <c r="H901">
        <v>313732.1077745423</v>
      </c>
      <c r="I901">
        <v>50.396200619098117</v>
      </c>
    </row>
    <row r="902" spans="1:9" x14ac:dyDescent="0.2">
      <c r="A902">
        <v>892</v>
      </c>
      <c r="B902">
        <v>1142627.4085914425</v>
      </c>
      <c r="C902">
        <v>134176.55963305398</v>
      </c>
      <c r="D902">
        <v>90261.889234406452</v>
      </c>
      <c r="E902">
        <v>60459.301588795759</v>
      </c>
      <c r="F902">
        <v>40185.643956147396</v>
      </c>
      <c r="G902">
        <v>10000</v>
      </c>
      <c r="H902">
        <v>315083.39441240358</v>
      </c>
      <c r="I902">
        <v>40.742639448981549</v>
      </c>
    </row>
    <row r="903" spans="1:9" x14ac:dyDescent="0.2">
      <c r="A903">
        <v>893</v>
      </c>
      <c r="B903">
        <v>1415996.5141061256</v>
      </c>
      <c r="C903">
        <v>134106.17254906581</v>
      </c>
      <c r="D903">
        <v>84578.780897725781</v>
      </c>
      <c r="E903">
        <v>135909.69270345909</v>
      </c>
      <c r="F903">
        <v>45409.132571777933</v>
      </c>
      <c r="G903">
        <v>10000</v>
      </c>
      <c r="H903">
        <v>390003.7787220286</v>
      </c>
      <c r="I903">
        <v>41.777711232151418</v>
      </c>
    </row>
    <row r="904" spans="1:9" x14ac:dyDescent="0.2">
      <c r="A904">
        <v>894</v>
      </c>
      <c r="B904">
        <v>1228528.5146864832</v>
      </c>
      <c r="C904">
        <v>108479.99661456874</v>
      </c>
      <c r="D904">
        <v>120938.08888839323</v>
      </c>
      <c r="E904">
        <v>77820.087742911055</v>
      </c>
      <c r="F904">
        <v>41387.544536047688</v>
      </c>
      <c r="G904">
        <v>10000</v>
      </c>
      <c r="H904">
        <v>338625.71778192068</v>
      </c>
      <c r="I904">
        <v>44.095199522316456</v>
      </c>
    </row>
    <row r="905" spans="1:9" x14ac:dyDescent="0.2">
      <c r="A905">
        <v>895</v>
      </c>
      <c r="B905">
        <v>1013043.3895410605</v>
      </c>
      <c r="C905">
        <v>115341.83069569286</v>
      </c>
      <c r="D905">
        <v>56216.718368777001</v>
      </c>
      <c r="E905">
        <v>76700.605545161729</v>
      </c>
      <c r="F905">
        <v>41310.041922357355</v>
      </c>
      <c r="G905">
        <v>10000</v>
      </c>
      <c r="H905">
        <v>279569.19653198897</v>
      </c>
      <c r="I905">
        <v>48.694474911108216</v>
      </c>
    </row>
    <row r="906" spans="1:9" x14ac:dyDescent="0.2">
      <c r="A906">
        <v>896</v>
      </c>
      <c r="B906">
        <v>840674.66418163548</v>
      </c>
      <c r="C906">
        <v>102801.09374528163</v>
      </c>
      <c r="D906">
        <v>48226.872736057718</v>
      </c>
      <c r="E906">
        <v>51720.661758001137</v>
      </c>
      <c r="F906">
        <v>39580.661198630849</v>
      </c>
      <c r="G906">
        <v>10000</v>
      </c>
      <c r="H906">
        <v>232329.28943797134</v>
      </c>
      <c r="I906">
        <v>41.452066873677495</v>
      </c>
    </row>
    <row r="907" spans="1:9" x14ac:dyDescent="0.2">
      <c r="A907">
        <v>897</v>
      </c>
      <c r="B907">
        <v>1009862.2433764396</v>
      </c>
      <c r="C907">
        <v>99475.533859956646</v>
      </c>
      <c r="D907">
        <v>29083.472491974273</v>
      </c>
      <c r="E907">
        <v>116100.62016095074</v>
      </c>
      <c r="F907">
        <v>44037.735241911978</v>
      </c>
      <c r="G907">
        <v>10000</v>
      </c>
      <c r="H907">
        <v>278697.36175479362</v>
      </c>
      <c r="I907">
        <v>31.781038325837187</v>
      </c>
    </row>
    <row r="908" spans="1:9" x14ac:dyDescent="0.2">
      <c r="A908">
        <v>898</v>
      </c>
      <c r="B908">
        <v>1167024.9614350516</v>
      </c>
      <c r="C908">
        <v>126434.87450676929</v>
      </c>
      <c r="D908">
        <v>103004.38948339847</v>
      </c>
      <c r="E908">
        <v>62035.812360279655</v>
      </c>
      <c r="F908">
        <v>40294.787009557818</v>
      </c>
      <c r="G908">
        <v>10000</v>
      </c>
      <c r="H908">
        <v>321769.86336000526</v>
      </c>
      <c r="I908">
        <v>31.502944418629621</v>
      </c>
    </row>
    <row r="909" spans="1:9" x14ac:dyDescent="0.2">
      <c r="A909">
        <v>899</v>
      </c>
      <c r="B909">
        <v>1402031.7385679784</v>
      </c>
      <c r="C909">
        <v>113999.91871033623</v>
      </c>
      <c r="D909">
        <v>44760.456939313364</v>
      </c>
      <c r="E909">
        <v>188374.83843857181</v>
      </c>
      <c r="F909">
        <v>49041.334968824201</v>
      </c>
      <c r="G909">
        <v>10000</v>
      </c>
      <c r="H909">
        <v>386176.5490570456</v>
      </c>
      <c r="I909">
        <v>35.50544616944228</v>
      </c>
    </row>
    <row r="910" spans="1:9" x14ac:dyDescent="0.2">
      <c r="A910">
        <v>900</v>
      </c>
      <c r="B910">
        <v>913678.22087499138</v>
      </c>
      <c r="C910">
        <v>100207.99581384919</v>
      </c>
      <c r="D910">
        <v>43198.199075352153</v>
      </c>
      <c r="E910">
        <v>77561.063469560526</v>
      </c>
      <c r="F910">
        <v>41369.612086354187</v>
      </c>
      <c r="G910">
        <v>10000</v>
      </c>
      <c r="H910">
        <v>252336.87044511607</v>
      </c>
      <c r="I910">
        <v>43.119200111782064</v>
      </c>
    </row>
    <row r="911" spans="1:9" x14ac:dyDescent="0.2">
      <c r="A911">
        <v>901</v>
      </c>
      <c r="B911">
        <v>1394884.2097818938</v>
      </c>
      <c r="C911">
        <v>136862.28212751911</v>
      </c>
      <c r="D911">
        <v>49319.430326497801</v>
      </c>
      <c r="E911">
        <v>160896.94354321749</v>
      </c>
      <c r="F911">
        <v>47139.019168376588</v>
      </c>
      <c r="G911">
        <v>10000</v>
      </c>
      <c r="H911">
        <v>384217.67516561097</v>
      </c>
      <c r="I911">
        <v>34.474562649737948</v>
      </c>
    </row>
    <row r="912" spans="1:9" x14ac:dyDescent="0.2">
      <c r="A912">
        <v>902</v>
      </c>
      <c r="B912">
        <v>1407109.9547906811</v>
      </c>
      <c r="C912">
        <v>85602.908287574988</v>
      </c>
      <c r="D912">
        <v>94370.908087524978</v>
      </c>
      <c r="E912">
        <v>169836.56810539373</v>
      </c>
      <c r="F912">
        <v>47757.916253450334</v>
      </c>
      <c r="G912">
        <v>10000</v>
      </c>
      <c r="H912">
        <v>387568.30073394405</v>
      </c>
      <c r="I912">
        <v>26.112276379465246</v>
      </c>
    </row>
    <row r="913" spans="1:9" x14ac:dyDescent="0.2">
      <c r="A913">
        <v>903</v>
      </c>
      <c r="B913">
        <v>1777641.0381688131</v>
      </c>
      <c r="C913">
        <v>145103.06532024554</v>
      </c>
      <c r="D913">
        <v>127230.93610616832</v>
      </c>
      <c r="E913">
        <v>178430.32757238319</v>
      </c>
      <c r="F913">
        <v>48352.868831934225</v>
      </c>
      <c r="G913">
        <v>10000</v>
      </c>
      <c r="H913">
        <v>489117.19783073134</v>
      </c>
      <c r="I913">
        <v>48.306710063761699</v>
      </c>
    </row>
    <row r="914" spans="1:9" x14ac:dyDescent="0.2">
      <c r="A914">
        <v>904</v>
      </c>
      <c r="B914">
        <v>1891656.8709126634</v>
      </c>
      <c r="C914">
        <v>156608.92315072034</v>
      </c>
      <c r="D914">
        <v>124489.62995395345</v>
      </c>
      <c r="E914">
        <v>199457.57581432784</v>
      </c>
      <c r="F914">
        <v>49808.601402530388</v>
      </c>
      <c r="G914">
        <v>10000</v>
      </c>
      <c r="H914">
        <v>520364.73032153212</v>
      </c>
      <c r="I914">
        <v>38.677411890035486</v>
      </c>
    </row>
    <row r="915" spans="1:9" x14ac:dyDescent="0.2">
      <c r="A915">
        <v>905</v>
      </c>
      <c r="B915">
        <v>1381432.8740941451</v>
      </c>
      <c r="C915">
        <v>88743.006400391067</v>
      </c>
      <c r="D915">
        <v>83853.109539545694</v>
      </c>
      <c r="E915">
        <v>170155.07756878625</v>
      </c>
      <c r="F915">
        <v>47779.966908608279</v>
      </c>
      <c r="G915">
        <v>10000</v>
      </c>
      <c r="H915">
        <v>380531.16041733132</v>
      </c>
      <c r="I915">
        <v>32.852025211412268</v>
      </c>
    </row>
    <row r="916" spans="1:9" x14ac:dyDescent="0.2">
      <c r="A916">
        <v>906</v>
      </c>
      <c r="B916">
        <v>1237834.9584480445</v>
      </c>
      <c r="C916">
        <v>115799.53496415948</v>
      </c>
      <c r="D916">
        <v>54148.422691097992</v>
      </c>
      <c r="E916">
        <v>135825.04088605524</v>
      </c>
      <c r="F916">
        <v>45403.272061342286</v>
      </c>
      <c r="G916">
        <v>10000</v>
      </c>
      <c r="H916">
        <v>341176.27060265501</v>
      </c>
      <c r="I916">
        <v>40.773113195370321</v>
      </c>
    </row>
    <row r="917" spans="1:9" x14ac:dyDescent="0.2">
      <c r="A917">
        <v>907</v>
      </c>
      <c r="B917">
        <v>1452523.8752208508</v>
      </c>
      <c r="C917">
        <v>123412.3476005579</v>
      </c>
      <c r="D917">
        <v>65143.076928870425</v>
      </c>
      <c r="E917">
        <v>173451.00919822586</v>
      </c>
      <c r="F917">
        <v>48008.146790646402</v>
      </c>
      <c r="G917">
        <v>10000</v>
      </c>
      <c r="H917">
        <v>400014.58051830059</v>
      </c>
      <c r="I917">
        <v>36.068499640957619</v>
      </c>
    </row>
    <row r="918" spans="1:9" x14ac:dyDescent="0.2">
      <c r="A918">
        <v>908</v>
      </c>
      <c r="B918">
        <v>1063250.3079501227</v>
      </c>
      <c r="C918">
        <v>82523.601017099747</v>
      </c>
      <c r="D918">
        <v>61939.812471788566</v>
      </c>
      <c r="E918">
        <v>114910.31706548558</v>
      </c>
      <c r="F918">
        <v>43955.329642995152</v>
      </c>
      <c r="G918">
        <v>10000</v>
      </c>
      <c r="H918">
        <v>293329.06019736902</v>
      </c>
      <c r="I918">
        <v>46.247924871607268</v>
      </c>
    </row>
    <row r="919" spans="1:9" x14ac:dyDescent="0.2">
      <c r="A919">
        <v>909</v>
      </c>
      <c r="B919">
        <v>1737294.5107352859</v>
      </c>
      <c r="C919">
        <v>151959.73170786278</v>
      </c>
      <c r="D919">
        <v>139948.03782836907</v>
      </c>
      <c r="E919">
        <v>149782.38426058396</v>
      </c>
      <c r="F919">
        <v>46369.549679578886</v>
      </c>
      <c r="G919">
        <v>10000</v>
      </c>
      <c r="H919">
        <v>478059.7034763947</v>
      </c>
      <c r="I919">
        <v>35.714722156639397</v>
      </c>
    </row>
    <row r="920" spans="1:9" x14ac:dyDescent="0.2">
      <c r="A920">
        <v>910</v>
      </c>
      <c r="B920">
        <v>1488127.8563728421</v>
      </c>
      <c r="C920">
        <v>106618.96906098466</v>
      </c>
      <c r="D920">
        <v>56379.796229957108</v>
      </c>
      <c r="E920">
        <v>206478.86218991279</v>
      </c>
      <c r="F920">
        <v>50294.690459301652</v>
      </c>
      <c r="G920">
        <v>10000</v>
      </c>
      <c r="H920">
        <v>409772.31794015615</v>
      </c>
      <c r="I920">
        <v>32.944506814129184</v>
      </c>
    </row>
    <row r="921" spans="1:9" x14ac:dyDescent="0.2">
      <c r="A921">
        <v>911</v>
      </c>
      <c r="B921">
        <v>1296668.5082045519</v>
      </c>
      <c r="C921">
        <v>164356.11279943577</v>
      </c>
      <c r="D921">
        <v>25134.558005759383</v>
      </c>
      <c r="E921">
        <v>132627.78145492545</v>
      </c>
      <c r="F921">
        <v>45181.923331494843</v>
      </c>
      <c r="G921">
        <v>10000</v>
      </c>
      <c r="H921">
        <v>357300.37559161545</v>
      </c>
      <c r="I921">
        <v>32.763473688271915</v>
      </c>
    </row>
    <row r="922" spans="1:9" x14ac:dyDescent="0.2">
      <c r="A922">
        <v>912</v>
      </c>
      <c r="B922">
        <v>785639.1651359658</v>
      </c>
      <c r="C922">
        <v>88000.098863451349</v>
      </c>
      <c r="D922">
        <v>56114.50039591777</v>
      </c>
      <c r="E922">
        <v>44079.811482278703</v>
      </c>
      <c r="F922">
        <v>39051.679256465446</v>
      </c>
      <c r="G922">
        <v>10000</v>
      </c>
      <c r="H922">
        <v>217246.08999811328</v>
      </c>
      <c r="I922">
        <v>35.216749174199073</v>
      </c>
    </row>
    <row r="923" spans="1:9" x14ac:dyDescent="0.2">
      <c r="A923">
        <v>913</v>
      </c>
      <c r="B923">
        <v>1351453.1549053045</v>
      </c>
      <c r="C923">
        <v>96626.413954643998</v>
      </c>
      <c r="D923">
        <v>133986.27492125018</v>
      </c>
      <c r="E923">
        <v>108210.63152503945</v>
      </c>
      <c r="F923">
        <v>43491.505259425816</v>
      </c>
      <c r="G923">
        <v>10000</v>
      </c>
      <c r="H923">
        <v>372314.82566035946</v>
      </c>
      <c r="I923">
        <v>40.996251295766058</v>
      </c>
    </row>
    <row r="924" spans="1:9" x14ac:dyDescent="0.2">
      <c r="A924">
        <v>914</v>
      </c>
      <c r="B924">
        <v>1141123.1147458805</v>
      </c>
      <c r="C924">
        <v>94426.529651635981</v>
      </c>
      <c r="D924">
        <v>68097.165793324923</v>
      </c>
      <c r="E924">
        <v>117979.60848491744</v>
      </c>
      <c r="F924">
        <v>44167.819048955818</v>
      </c>
      <c r="G924">
        <v>10000</v>
      </c>
      <c r="H924">
        <v>314671.12297883414</v>
      </c>
      <c r="I924">
        <v>37.096210165517448</v>
      </c>
    </row>
    <row r="925" spans="1:9" x14ac:dyDescent="0.2">
      <c r="A925">
        <v>915</v>
      </c>
      <c r="B925">
        <v>1303198.4536046367</v>
      </c>
      <c r="C925">
        <v>167385.04021476317</v>
      </c>
      <c r="D925">
        <v>68928.043614819238</v>
      </c>
      <c r="E925">
        <v>90510.778048642809</v>
      </c>
      <c r="F925">
        <v>42266.130787982969</v>
      </c>
      <c r="G925">
        <v>10000</v>
      </c>
      <c r="H925">
        <v>359089.99266620819</v>
      </c>
      <c r="I925">
        <v>34.958382891040301</v>
      </c>
    </row>
    <row r="926" spans="1:9" x14ac:dyDescent="0.2">
      <c r="A926">
        <v>916</v>
      </c>
      <c r="B926">
        <v>1328197.8087504457</v>
      </c>
      <c r="C926">
        <v>112607.86019648332</v>
      </c>
      <c r="D926">
        <v>123796.30632661321</v>
      </c>
      <c r="E926">
        <v>96833.377671413342</v>
      </c>
      <c r="F926">
        <v>42703.849223405537</v>
      </c>
      <c r="G926">
        <v>10000</v>
      </c>
      <c r="H926">
        <v>365941.39341791539</v>
      </c>
      <c r="I926">
        <v>42.028954170371108</v>
      </c>
    </row>
    <row r="927" spans="1:9" x14ac:dyDescent="0.2">
      <c r="A927">
        <v>917</v>
      </c>
      <c r="B927">
        <v>1858741.1759845125</v>
      </c>
      <c r="C927">
        <v>115695.21298799702</v>
      </c>
      <c r="D927">
        <v>160691.49930785986</v>
      </c>
      <c r="E927">
        <v>195427.44809752677</v>
      </c>
      <c r="F927">
        <v>49529.592560598008</v>
      </c>
      <c r="G927">
        <v>10000</v>
      </c>
      <c r="H927">
        <v>511343.75295398169</v>
      </c>
      <c r="I927">
        <v>38.305761088106564</v>
      </c>
    </row>
    <row r="928" spans="1:9" x14ac:dyDescent="0.2">
      <c r="A928">
        <v>918</v>
      </c>
      <c r="B928">
        <v>1085431.4191751536</v>
      </c>
      <c r="C928">
        <v>142799.37868950504</v>
      </c>
      <c r="D928">
        <v>49833.454020313409</v>
      </c>
      <c r="E928">
        <v>75545.199315451478</v>
      </c>
      <c r="F928">
        <v>41230.052260300487</v>
      </c>
      <c r="G928">
        <v>10000</v>
      </c>
      <c r="H928">
        <v>299408.08428557042</v>
      </c>
      <c r="I928">
        <v>44.354270682849517</v>
      </c>
    </row>
    <row r="929" spans="1:9" x14ac:dyDescent="0.2">
      <c r="A929">
        <v>919</v>
      </c>
      <c r="B929">
        <v>971891.13015441364</v>
      </c>
      <c r="C929">
        <v>156219.21667669783</v>
      </c>
      <c r="D929">
        <v>52608.818872270291</v>
      </c>
      <c r="E929">
        <v>31296.186188583863</v>
      </c>
      <c r="F929">
        <v>38166.659043825035</v>
      </c>
      <c r="G929">
        <v>10000</v>
      </c>
      <c r="H929">
        <v>268290.88078137703</v>
      </c>
      <c r="I929">
        <v>35.709397841291732</v>
      </c>
    </row>
    <row r="930" spans="1:9" x14ac:dyDescent="0.2">
      <c r="A930">
        <v>920</v>
      </c>
      <c r="B930">
        <v>1410883.0371820536</v>
      </c>
      <c r="C930">
        <v>96632.587811398043</v>
      </c>
      <c r="D930">
        <v>164223.37990644827</v>
      </c>
      <c r="E930">
        <v>95158.499547653322</v>
      </c>
      <c r="F930">
        <v>42587.896122529848</v>
      </c>
      <c r="G930">
        <v>10000</v>
      </c>
      <c r="H930">
        <v>388602.36338802951</v>
      </c>
      <c r="I930">
        <v>31.191911889985356</v>
      </c>
    </row>
    <row r="931" spans="1:9" x14ac:dyDescent="0.2">
      <c r="A931">
        <v>921</v>
      </c>
      <c r="B931">
        <v>1376451.5270733184</v>
      </c>
      <c r="C931">
        <v>92568.923085923248</v>
      </c>
      <c r="D931">
        <v>55637.118251919295</v>
      </c>
      <c r="E931">
        <v>191689.12976918556</v>
      </c>
      <c r="F931">
        <v>49270.785907097459</v>
      </c>
      <c r="G931">
        <v>10000</v>
      </c>
      <c r="H931">
        <v>379165.95701412554</v>
      </c>
      <c r="I931">
        <v>25.617806878432667</v>
      </c>
    </row>
    <row r="932" spans="1:9" x14ac:dyDescent="0.2">
      <c r="A932">
        <v>922</v>
      </c>
      <c r="B932">
        <v>1516635.6165530402</v>
      </c>
      <c r="C932">
        <v>116148.34630010311</v>
      </c>
      <c r="D932">
        <v>83045.487083768036</v>
      </c>
      <c r="E932">
        <v>179934.41191719539</v>
      </c>
      <c r="F932">
        <v>48456.997748113521</v>
      </c>
      <c r="G932">
        <v>10000</v>
      </c>
      <c r="H932">
        <v>417585.24304918008</v>
      </c>
      <c r="I932">
        <v>35.40466187679155</v>
      </c>
    </row>
    <row r="933" spans="1:9" x14ac:dyDescent="0.2">
      <c r="A933">
        <v>923</v>
      </c>
      <c r="B933">
        <v>1182402.9641649332</v>
      </c>
      <c r="C933">
        <v>98006.682011725163</v>
      </c>
      <c r="D933">
        <v>80812.089759462149</v>
      </c>
      <c r="E933">
        <v>113320.37775638372</v>
      </c>
      <c r="F933">
        <v>43845.256921595792</v>
      </c>
      <c r="G933">
        <v>10000</v>
      </c>
      <c r="H933">
        <v>325984.40644916683</v>
      </c>
      <c r="I933">
        <v>40.613844326317803</v>
      </c>
    </row>
    <row r="934" spans="1:9" x14ac:dyDescent="0.2">
      <c r="A934">
        <v>924</v>
      </c>
      <c r="B934">
        <v>790737.29215328617</v>
      </c>
      <c r="C934">
        <v>76834.519043039007</v>
      </c>
      <c r="D934">
        <v>71457.905029825008</v>
      </c>
      <c r="E934">
        <v>41479.235065538829</v>
      </c>
      <c r="F934">
        <v>38871.639350691148</v>
      </c>
      <c r="G934">
        <v>10000</v>
      </c>
      <c r="H934">
        <v>218643.29848909398</v>
      </c>
      <c r="I934">
        <v>35.249818584557559</v>
      </c>
    </row>
    <row r="935" spans="1:9" x14ac:dyDescent="0.2">
      <c r="A935">
        <v>925</v>
      </c>
      <c r="B935">
        <v>1510563.199788521</v>
      </c>
      <c r="C935">
        <v>118588.57877725057</v>
      </c>
      <c r="D935">
        <v>125960.89437696969</v>
      </c>
      <c r="E935">
        <v>135958.99848713822</v>
      </c>
      <c r="F935">
        <v>45412.546049109566</v>
      </c>
      <c r="G935">
        <v>10000</v>
      </c>
      <c r="H935">
        <v>415921.017690468</v>
      </c>
      <c r="I935">
        <v>38.4378676571272</v>
      </c>
    </row>
    <row r="936" spans="1:9" x14ac:dyDescent="0.2">
      <c r="A936">
        <v>926</v>
      </c>
      <c r="B936">
        <v>1194270.1652887031</v>
      </c>
      <c r="C936">
        <v>113543.88093097373</v>
      </c>
      <c r="D936">
        <v>61874.617719083297</v>
      </c>
      <c r="E936">
        <v>119542.26664374447</v>
      </c>
      <c r="F936">
        <v>44276.00307533615</v>
      </c>
      <c r="G936">
        <v>10000</v>
      </c>
      <c r="H936">
        <v>329236.76836913766</v>
      </c>
      <c r="I936">
        <v>40.975429995570991</v>
      </c>
    </row>
    <row r="937" spans="1:9" x14ac:dyDescent="0.2">
      <c r="A937">
        <v>927</v>
      </c>
      <c r="B937">
        <v>1537420.9055933165</v>
      </c>
      <c r="C937">
        <v>97122.527726634784</v>
      </c>
      <c r="D937">
        <v>106039.64015330537</v>
      </c>
      <c r="E937">
        <v>181550.66379456455</v>
      </c>
      <c r="F937">
        <v>48568.892108854474</v>
      </c>
      <c r="G937">
        <v>10000</v>
      </c>
      <c r="H937">
        <v>423281.72378335916</v>
      </c>
      <c r="I937">
        <v>37.418234330996285</v>
      </c>
    </row>
    <row r="938" spans="1:9" x14ac:dyDescent="0.2">
      <c r="A938">
        <v>928</v>
      </c>
      <c r="B938">
        <v>1195805.2270858432</v>
      </c>
      <c r="C938">
        <v>101243.12048692365</v>
      </c>
      <c r="D938">
        <v>103890.13255260786</v>
      </c>
      <c r="E938">
        <v>92144.953136940443</v>
      </c>
      <c r="F938">
        <v>42379.265986403567</v>
      </c>
      <c r="G938">
        <v>10000</v>
      </c>
      <c r="H938">
        <v>329657.47216287552</v>
      </c>
      <c r="I938">
        <v>37.096363653842708</v>
      </c>
    </row>
    <row r="939" spans="1:9" x14ac:dyDescent="0.2">
      <c r="A939">
        <v>929</v>
      </c>
      <c r="B939">
        <v>1041507.1749096757</v>
      </c>
      <c r="C939">
        <v>102960.80101174847</v>
      </c>
      <c r="D939">
        <v>96086.783033068918</v>
      </c>
      <c r="E939">
        <v>58287.216863276764</v>
      </c>
      <c r="F939">
        <v>40035.268859765318</v>
      </c>
      <c r="G939">
        <v>10000</v>
      </c>
      <c r="H939">
        <v>287370.06976785942</v>
      </c>
      <c r="I939">
        <v>30.918912970216638</v>
      </c>
    </row>
    <row r="940" spans="1:9" x14ac:dyDescent="0.2">
      <c r="A940">
        <v>930</v>
      </c>
      <c r="B940">
        <v>1102712.9907085178</v>
      </c>
      <c r="C940">
        <v>146652.92047223781</v>
      </c>
      <c r="D940">
        <v>69771.85673773085</v>
      </c>
      <c r="E940">
        <v>57723.318395686496</v>
      </c>
      <c r="F940">
        <v>39996.229735085988</v>
      </c>
      <c r="G940">
        <v>10000</v>
      </c>
      <c r="H940">
        <v>304144.32534074114</v>
      </c>
      <c r="I940">
        <v>34.012102391085627</v>
      </c>
    </row>
    <row r="941" spans="1:9" x14ac:dyDescent="0.2">
      <c r="A941">
        <v>931</v>
      </c>
      <c r="B941">
        <v>1198617.9744134576</v>
      </c>
      <c r="C941">
        <v>118238.22590033068</v>
      </c>
      <c r="D941">
        <v>98356.591847284508</v>
      </c>
      <c r="E941">
        <v>82146.461917288121</v>
      </c>
      <c r="F941">
        <v>41687.062748119948</v>
      </c>
      <c r="G941">
        <v>10000</v>
      </c>
      <c r="H941">
        <v>330428.34241302323</v>
      </c>
      <c r="I941">
        <v>27.448684162108329</v>
      </c>
    </row>
    <row r="942" spans="1:9" x14ac:dyDescent="0.2">
      <c r="A942">
        <v>932</v>
      </c>
      <c r="B942">
        <v>1569269.474044472</v>
      </c>
      <c r="C942">
        <v>119939.59669140089</v>
      </c>
      <c r="D942">
        <v>103734.74803523872</v>
      </c>
      <c r="E942">
        <v>170529.97508275852</v>
      </c>
      <c r="F942">
        <v>47805.921351883284</v>
      </c>
      <c r="G942">
        <v>10000</v>
      </c>
      <c r="H942">
        <v>432010.24116128142</v>
      </c>
      <c r="I942">
        <v>31.442362467404699</v>
      </c>
    </row>
    <row r="943" spans="1:9" x14ac:dyDescent="0.2">
      <c r="A943">
        <v>933</v>
      </c>
      <c r="B943">
        <v>1456316.9138345206</v>
      </c>
      <c r="C943">
        <v>110682.20037593794</v>
      </c>
      <c r="D943">
        <v>86326.076038849889</v>
      </c>
      <c r="E943">
        <v>166517.68836564798</v>
      </c>
      <c r="F943">
        <v>47528.147656083318</v>
      </c>
      <c r="G943">
        <v>10000</v>
      </c>
      <c r="H943">
        <v>401054.11243651912</v>
      </c>
      <c r="I943">
        <v>37.487487564076723</v>
      </c>
    </row>
    <row r="944" spans="1:9" x14ac:dyDescent="0.2">
      <c r="A944">
        <v>934</v>
      </c>
      <c r="B944">
        <v>1204598.915499754</v>
      </c>
      <c r="C944">
        <v>105884.32825801926</v>
      </c>
      <c r="D944">
        <v>84237.577933682565</v>
      </c>
      <c r="E944">
        <v>108438.3229595642</v>
      </c>
      <c r="F944">
        <v>43507.268512585208</v>
      </c>
      <c r="G944">
        <v>10000</v>
      </c>
      <c r="H944">
        <v>332067.49766385125</v>
      </c>
      <c r="I944">
        <v>24.419112021228628</v>
      </c>
    </row>
    <row r="945" spans="1:9" x14ac:dyDescent="0.2">
      <c r="A945">
        <v>935</v>
      </c>
      <c r="B945">
        <v>1582238.5972021383</v>
      </c>
      <c r="C945">
        <v>123325.08165241065</v>
      </c>
      <c r="D945">
        <v>86649.489600107045</v>
      </c>
      <c r="E945">
        <v>186666.93265862396</v>
      </c>
      <c r="F945">
        <v>48923.095337904735</v>
      </c>
      <c r="G945">
        <v>10000</v>
      </c>
      <c r="H945">
        <v>435564.59924904641</v>
      </c>
      <c r="I945">
        <v>44.890030440095224</v>
      </c>
    </row>
    <row r="946" spans="1:9" x14ac:dyDescent="0.2">
      <c r="A946">
        <v>936</v>
      </c>
      <c r="B946">
        <v>1251347.6114937733</v>
      </c>
      <c r="C946">
        <v>114230.2065487428</v>
      </c>
      <c r="D946">
        <v>49639.563606609991</v>
      </c>
      <c r="E946">
        <v>144973.21296904734</v>
      </c>
      <c r="F946">
        <v>46036.607051703279</v>
      </c>
      <c r="G946">
        <v>10000</v>
      </c>
      <c r="H946">
        <v>344879.5901761034</v>
      </c>
      <c r="I946">
        <v>43.12940529099096</v>
      </c>
    </row>
    <row r="947" spans="1:9" x14ac:dyDescent="0.2">
      <c r="A947">
        <v>937</v>
      </c>
      <c r="B947">
        <v>1411842.8652385827</v>
      </c>
      <c r="C947">
        <v>105765.68672731378</v>
      </c>
      <c r="D947">
        <v>111174.00093172742</v>
      </c>
      <c r="E947">
        <v>136477.30067283442</v>
      </c>
      <c r="F947">
        <v>45448.428508119301</v>
      </c>
      <c r="G947">
        <v>10000</v>
      </c>
      <c r="H947">
        <v>388865.41683999496</v>
      </c>
      <c r="I947">
        <v>33.84891212001007</v>
      </c>
    </row>
    <row r="948" spans="1:9" x14ac:dyDescent="0.2">
      <c r="A948">
        <v>938</v>
      </c>
      <c r="B948">
        <v>1430239.0748176724</v>
      </c>
      <c r="C948">
        <v>111097.81446264657</v>
      </c>
      <c r="D948">
        <v>124850.48468704584</v>
      </c>
      <c r="E948">
        <v>123414.74235521143</v>
      </c>
      <c r="F948">
        <v>44544.097547668483</v>
      </c>
      <c r="G948">
        <v>10000</v>
      </c>
      <c r="H948">
        <v>393907.13905257231</v>
      </c>
      <c r="I948">
        <v>25.623190335524416</v>
      </c>
    </row>
    <row r="949" spans="1:9" x14ac:dyDescent="0.2">
      <c r="A949">
        <v>939</v>
      </c>
      <c r="B949">
        <v>1202059.9725616104</v>
      </c>
      <c r="C949">
        <v>102142.05346139408</v>
      </c>
      <c r="D949">
        <v>29620.493337250668</v>
      </c>
      <c r="E949">
        <v>162368.24200217996</v>
      </c>
      <c r="F949">
        <v>47240.878292458619</v>
      </c>
      <c r="G949">
        <v>10000</v>
      </c>
      <c r="H949">
        <v>331371.66709328332</v>
      </c>
      <c r="I949">
        <v>36.223299084328339</v>
      </c>
    </row>
    <row r="950" spans="1:9" x14ac:dyDescent="0.2">
      <c r="A950">
        <v>940</v>
      </c>
      <c r="B950">
        <v>1298868.4667475731</v>
      </c>
      <c r="C950">
        <v>89621.247584150289</v>
      </c>
      <c r="D950">
        <v>50374.38125236224</v>
      </c>
      <c r="E950">
        <v>179481.99746420793</v>
      </c>
      <c r="F950">
        <v>48425.676747522084</v>
      </c>
      <c r="G950">
        <v>10000</v>
      </c>
      <c r="H950">
        <v>357903.30304824258</v>
      </c>
      <c r="I950">
        <v>46.069264875828154</v>
      </c>
    </row>
    <row r="951" spans="1:9" x14ac:dyDescent="0.2">
      <c r="A951">
        <v>941</v>
      </c>
      <c r="B951">
        <v>913321.10579944041</v>
      </c>
      <c r="C951">
        <v>102646.19040533628</v>
      </c>
      <c r="D951">
        <v>70226.142321411593</v>
      </c>
      <c r="E951">
        <v>49911.270036074631</v>
      </c>
      <c r="F951">
        <v>39455.395617882088</v>
      </c>
      <c r="G951">
        <v>10000</v>
      </c>
      <c r="H951">
        <v>252238.99838070461</v>
      </c>
      <c r="I951">
        <v>45.137744627933444</v>
      </c>
    </row>
    <row r="952" spans="1:9" x14ac:dyDescent="0.2">
      <c r="A952">
        <v>942</v>
      </c>
      <c r="B952">
        <v>1489781.8417282091</v>
      </c>
      <c r="C952">
        <v>105681.9045363301</v>
      </c>
      <c r="D952">
        <v>124258.01436876963</v>
      </c>
      <c r="E952">
        <v>144295.97410364318</v>
      </c>
      <c r="F952">
        <v>45989.72128409837</v>
      </c>
      <c r="G952">
        <v>10000</v>
      </c>
      <c r="H952">
        <v>410225.61429284129</v>
      </c>
      <c r="I952">
        <v>29.756283371413822</v>
      </c>
    </row>
    <row r="953" spans="1:9" x14ac:dyDescent="0.2">
      <c r="A953">
        <v>943</v>
      </c>
      <c r="B953">
        <v>1235402.5031978986</v>
      </c>
      <c r="C953">
        <v>114145.93377770932</v>
      </c>
      <c r="D953">
        <v>98356.093765171478</v>
      </c>
      <c r="E953">
        <v>95402.78840684946</v>
      </c>
      <c r="F953">
        <v>42604.8084281665</v>
      </c>
      <c r="G953">
        <v>10000</v>
      </c>
      <c r="H953">
        <v>340509.62437789672</v>
      </c>
      <c r="I953">
        <v>35.008221365290574</v>
      </c>
    </row>
    <row r="954" spans="1:9" x14ac:dyDescent="0.2">
      <c r="A954">
        <v>944</v>
      </c>
      <c r="B954">
        <v>1088037.4672950616</v>
      </c>
      <c r="C954">
        <v>108178.84395696834</v>
      </c>
      <c r="D954">
        <v>116961.92975898195</v>
      </c>
      <c r="E954">
        <v>45810.066080982622</v>
      </c>
      <c r="F954">
        <v>39171.466113298797</v>
      </c>
      <c r="G954">
        <v>10000</v>
      </c>
      <c r="H954">
        <v>300122.30591023166</v>
      </c>
      <c r="I954">
        <v>52.97691575279665</v>
      </c>
    </row>
    <row r="955" spans="1:9" x14ac:dyDescent="0.2">
      <c r="A955">
        <v>945</v>
      </c>
      <c r="B955">
        <v>1732745.2718474371</v>
      </c>
      <c r="C955">
        <v>147897.61864423711</v>
      </c>
      <c r="D955">
        <v>82137.604554678896</v>
      </c>
      <c r="E955">
        <v>206482.74266112034</v>
      </c>
      <c r="F955">
        <v>50294.959107308328</v>
      </c>
      <c r="G955">
        <v>10000</v>
      </c>
      <c r="H955">
        <v>476812.92496734462</v>
      </c>
      <c r="I955">
        <v>33.806521238260352</v>
      </c>
    </row>
    <row r="956" spans="1:9" x14ac:dyDescent="0.2">
      <c r="A956">
        <v>946</v>
      </c>
      <c r="B956">
        <v>1671071.1196070963</v>
      </c>
      <c r="C956">
        <v>126957.06056125033</v>
      </c>
      <c r="D956">
        <v>96686.126214679927</v>
      </c>
      <c r="E956">
        <v>196652.71046505024</v>
      </c>
      <c r="F956">
        <v>49614.418416811168</v>
      </c>
      <c r="G956">
        <v>10000</v>
      </c>
      <c r="H956">
        <v>459910.31565779168</v>
      </c>
      <c r="I956">
        <v>35.104736756272139</v>
      </c>
    </row>
    <row r="957" spans="1:9" x14ac:dyDescent="0.2">
      <c r="A957">
        <v>947</v>
      </c>
      <c r="B957">
        <v>1544814.3321405845</v>
      </c>
      <c r="C957">
        <v>83418.36348065226</v>
      </c>
      <c r="D957">
        <v>106536.89164155931</v>
      </c>
      <c r="E957">
        <v>195797.52105874772</v>
      </c>
      <c r="F957">
        <v>49555.212996374845</v>
      </c>
      <c r="G957">
        <v>10000</v>
      </c>
      <c r="H957">
        <v>425307.98917733412</v>
      </c>
      <c r="I957">
        <v>42.411674708790798</v>
      </c>
    </row>
    <row r="958" spans="1:9" x14ac:dyDescent="0.2">
      <c r="A958">
        <v>948</v>
      </c>
      <c r="B958">
        <v>1278293.7383411841</v>
      </c>
      <c r="C958">
        <v>98480.906693814613</v>
      </c>
      <c r="D958">
        <v>135833.99536737171</v>
      </c>
      <c r="E958">
        <v>85996.054171674608</v>
      </c>
      <c r="F958">
        <v>41953.57298111594</v>
      </c>
      <c r="G958">
        <v>10000</v>
      </c>
      <c r="H958">
        <v>352264.52921397687</v>
      </c>
      <c r="I958">
        <v>37.423539301660995</v>
      </c>
    </row>
    <row r="959" spans="1:9" x14ac:dyDescent="0.2">
      <c r="A959">
        <v>949</v>
      </c>
      <c r="B959">
        <v>1569113.4071691013</v>
      </c>
      <c r="C959">
        <v>125420.21085585147</v>
      </c>
      <c r="D959">
        <v>99875.910948569799</v>
      </c>
      <c r="E959">
        <v>168973.20240351645</v>
      </c>
      <c r="F959">
        <v>47698.144781781906</v>
      </c>
      <c r="G959">
        <v>10000</v>
      </c>
      <c r="H959">
        <v>431967.46898971958</v>
      </c>
      <c r="I959">
        <v>25.442056407541532</v>
      </c>
    </row>
    <row r="960" spans="1:9" x14ac:dyDescent="0.2">
      <c r="A960">
        <v>950</v>
      </c>
      <c r="B960">
        <v>1377402.2304848037</v>
      </c>
      <c r="C960">
        <v>119146.76840492916</v>
      </c>
      <c r="D960">
        <v>120336.33659652148</v>
      </c>
      <c r="E960">
        <v>106565.77421365572</v>
      </c>
      <c r="F960">
        <v>43377.630522483858</v>
      </c>
      <c r="G960">
        <v>10000</v>
      </c>
      <c r="H960">
        <v>379426.50973759021</v>
      </c>
      <c r="I960">
        <v>29.776031469840568</v>
      </c>
    </row>
    <row r="961" spans="1:9" x14ac:dyDescent="0.2">
      <c r="A961">
        <v>951</v>
      </c>
      <c r="B961">
        <v>1293942.8758366439</v>
      </c>
      <c r="C961">
        <v>78780.490619885837</v>
      </c>
      <c r="D961">
        <v>118501.51290266193</v>
      </c>
      <c r="E961">
        <v>124642.29486273679</v>
      </c>
      <c r="F961">
        <v>44629.081952035624</v>
      </c>
      <c r="G961">
        <v>10000</v>
      </c>
      <c r="H961">
        <v>356553.38033732015</v>
      </c>
      <c r="I961">
        <v>42.62950437500163</v>
      </c>
    </row>
    <row r="962" spans="1:9" x14ac:dyDescent="0.2">
      <c r="A962">
        <v>952</v>
      </c>
      <c r="B962">
        <v>1102714.9064096452</v>
      </c>
      <c r="C962">
        <v>99480.612299146291</v>
      </c>
      <c r="D962">
        <v>65761.513239700682</v>
      </c>
      <c r="E962">
        <v>105592.476454926</v>
      </c>
      <c r="F962">
        <v>43310.248369956418</v>
      </c>
      <c r="G962">
        <v>10000</v>
      </c>
      <c r="H962">
        <v>304144.85036372941</v>
      </c>
      <c r="I962">
        <v>26.857901936242143</v>
      </c>
    </row>
    <row r="963" spans="1:9" x14ac:dyDescent="0.2">
      <c r="A963">
        <v>953</v>
      </c>
      <c r="B963">
        <v>1051062.996644431</v>
      </c>
      <c r="C963">
        <v>144138.97074779859</v>
      </c>
      <c r="D963">
        <v>63810.275689574468</v>
      </c>
      <c r="E963">
        <v>52411.250278335239</v>
      </c>
      <c r="F963">
        <v>39628.471173115518</v>
      </c>
      <c r="G963">
        <v>10000</v>
      </c>
      <c r="H963">
        <v>289988.96788882383</v>
      </c>
      <c r="I963">
        <v>35.715541253048009</v>
      </c>
    </row>
    <row r="964" spans="1:9" x14ac:dyDescent="0.2">
      <c r="A964">
        <v>954</v>
      </c>
      <c r="B964">
        <v>1666244.0266232544</v>
      </c>
      <c r="C964">
        <v>144815.40430411097</v>
      </c>
      <c r="D964">
        <v>101984.15696331188</v>
      </c>
      <c r="E964">
        <v>173758.39872273663</v>
      </c>
      <c r="F964">
        <v>48029.427603881762</v>
      </c>
      <c r="G964">
        <v>10000</v>
      </c>
      <c r="H964">
        <v>458587.38759404124</v>
      </c>
      <c r="I964">
        <v>37.754779369539861</v>
      </c>
    </row>
    <row r="965" spans="1:9" x14ac:dyDescent="0.2">
      <c r="A965">
        <v>955</v>
      </c>
      <c r="B965">
        <v>1830989.599342797</v>
      </c>
      <c r="C965">
        <v>161286.2775495403</v>
      </c>
      <c r="D965">
        <v>120542.09035904449</v>
      </c>
      <c r="E965">
        <v>183224.90109549492</v>
      </c>
      <c r="F965">
        <v>48684.800845072721</v>
      </c>
      <c r="G965">
        <v>10000</v>
      </c>
      <c r="H965">
        <v>503738.06984915241</v>
      </c>
      <c r="I965">
        <v>30.157789409456779</v>
      </c>
    </row>
    <row r="966" spans="1:9" x14ac:dyDescent="0.2">
      <c r="A966">
        <v>956</v>
      </c>
      <c r="B966">
        <v>1342737.4845184362</v>
      </c>
      <c r="C966">
        <v>100789.29322916197</v>
      </c>
      <c r="D966">
        <v>138501.14565654003</v>
      </c>
      <c r="E966">
        <v>97860.76696170248</v>
      </c>
      <c r="F966">
        <v>42774.976174271709</v>
      </c>
      <c r="G966">
        <v>10000</v>
      </c>
      <c r="H966">
        <v>369926.18202167621</v>
      </c>
      <c r="I966">
        <v>32.981024255567498</v>
      </c>
    </row>
    <row r="967" spans="1:9" x14ac:dyDescent="0.2">
      <c r="A967">
        <v>957</v>
      </c>
      <c r="B967">
        <v>1487014.569421561</v>
      </c>
      <c r="C967">
        <v>124824.55753427104</v>
      </c>
      <c r="D967">
        <v>100594.89548814401</v>
      </c>
      <c r="E967">
        <v>147814.44622957177</v>
      </c>
      <c r="F967">
        <v>46233.307815893437</v>
      </c>
      <c r="G967">
        <v>10000</v>
      </c>
      <c r="H967">
        <v>409467.20706788026</v>
      </c>
      <c r="I967">
        <v>35.702696865474309</v>
      </c>
    </row>
    <row r="968" spans="1:9" x14ac:dyDescent="0.2">
      <c r="A968">
        <v>958</v>
      </c>
      <c r="B968">
        <v>950959.53856353718</v>
      </c>
      <c r="C968">
        <v>93307.976181649618</v>
      </c>
      <c r="D968">
        <v>88401.269329400515</v>
      </c>
      <c r="E968">
        <v>51293.939516117855</v>
      </c>
      <c r="F968">
        <v>39551.118889577396</v>
      </c>
      <c r="G968">
        <v>10000</v>
      </c>
      <c r="H968">
        <v>262554.30391674535</v>
      </c>
      <c r="I968">
        <v>26.492375436988766</v>
      </c>
    </row>
    <row r="969" spans="1:9" x14ac:dyDescent="0.2">
      <c r="A969">
        <v>959</v>
      </c>
      <c r="B969">
        <v>1594055.9189909007</v>
      </c>
      <c r="C969">
        <v>148581.01592328382</v>
      </c>
      <c r="D969">
        <v>89828.998462259115</v>
      </c>
      <c r="E969">
        <v>163101.62568908688</v>
      </c>
      <c r="F969">
        <v>47291.651009244481</v>
      </c>
      <c r="G969">
        <v>10000</v>
      </c>
      <c r="H969">
        <v>438803.2910838743</v>
      </c>
      <c r="I969">
        <v>35.97804654598076</v>
      </c>
    </row>
    <row r="970" spans="1:9" x14ac:dyDescent="0.2">
      <c r="A970">
        <v>960</v>
      </c>
      <c r="B970">
        <v>1478464.4999669734</v>
      </c>
      <c r="C970">
        <v>115115.2176020161</v>
      </c>
      <c r="D970">
        <v>67740.75169912148</v>
      </c>
      <c r="E970">
        <v>185430.48417456762</v>
      </c>
      <c r="F970">
        <v>48837.495058239292</v>
      </c>
      <c r="G970">
        <v>10000</v>
      </c>
      <c r="H970">
        <v>407123.94853394455</v>
      </c>
      <c r="I970">
        <v>40.390539557556025</v>
      </c>
    </row>
    <row r="971" spans="1:9" x14ac:dyDescent="0.2">
      <c r="A971">
        <v>961</v>
      </c>
      <c r="B971">
        <v>1616756.0198822622</v>
      </c>
      <c r="C971">
        <v>124392.68177455812</v>
      </c>
      <c r="D971">
        <v>92627.481677226475</v>
      </c>
      <c r="E971">
        <v>188924.96685451365</v>
      </c>
      <c r="F971">
        <v>49079.42078223556</v>
      </c>
      <c r="G971">
        <v>10000</v>
      </c>
      <c r="H971">
        <v>445024.55108853383</v>
      </c>
      <c r="I971">
        <v>35.871466798259007</v>
      </c>
    </row>
    <row r="972" spans="1:9" x14ac:dyDescent="0.2">
      <c r="A972">
        <v>962</v>
      </c>
      <c r="B972">
        <v>1236002.9028813646</v>
      </c>
      <c r="C972">
        <v>120092.08954505635</v>
      </c>
      <c r="D972">
        <v>151392.53348308301</v>
      </c>
      <c r="E972">
        <v>40393.103145448302</v>
      </c>
      <c r="F972">
        <v>38796.445602377193</v>
      </c>
      <c r="G972">
        <v>10000</v>
      </c>
      <c r="H972">
        <v>340674.17177596485</v>
      </c>
      <c r="I972">
        <v>33.223988592932287</v>
      </c>
    </row>
    <row r="973" spans="1:9" x14ac:dyDescent="0.2">
      <c r="A973">
        <v>963</v>
      </c>
      <c r="B973">
        <v>1109367.4975692173</v>
      </c>
      <c r="C973">
        <v>86952.664581089964</v>
      </c>
      <c r="D973">
        <v>104438.76839973633</v>
      </c>
      <c r="E973">
        <v>82841.46854301705</v>
      </c>
      <c r="F973">
        <v>41735.178591439639</v>
      </c>
      <c r="G973">
        <v>10000</v>
      </c>
      <c r="H973">
        <v>305968.08011528297</v>
      </c>
      <c r="I973">
        <v>32.11925877272094</v>
      </c>
    </row>
    <row r="974" spans="1:9" x14ac:dyDescent="0.2">
      <c r="A974">
        <v>964</v>
      </c>
      <c r="B974">
        <v>1409938.7742534259</v>
      </c>
      <c r="C974">
        <v>84830.258399271042</v>
      </c>
      <c r="D974">
        <v>147115.04677893288</v>
      </c>
      <c r="E974">
        <v>121955.21709393531</v>
      </c>
      <c r="F974">
        <v>44443.053491118604</v>
      </c>
      <c r="G974">
        <v>10000</v>
      </c>
      <c r="H974">
        <v>388343.5757632578</v>
      </c>
      <c r="I974">
        <v>35.581573690612458</v>
      </c>
    </row>
    <row r="975" spans="1:9" x14ac:dyDescent="0.2">
      <c r="A975">
        <v>965</v>
      </c>
      <c r="B975">
        <v>988157.71175034461</v>
      </c>
      <c r="C975">
        <v>97005.211734802768</v>
      </c>
      <c r="D975">
        <v>103987.91043447024</v>
      </c>
      <c r="E975">
        <v>42793.22078636349</v>
      </c>
      <c r="F975">
        <v>38962.607592902088</v>
      </c>
      <c r="G975">
        <v>10000</v>
      </c>
      <c r="H975">
        <v>272748.95054853859</v>
      </c>
      <c r="I975">
        <v>46.385059633475393</v>
      </c>
    </row>
    <row r="976" spans="1:9" x14ac:dyDescent="0.2">
      <c r="A976">
        <v>966</v>
      </c>
      <c r="B976">
        <v>1475244.1902230063</v>
      </c>
      <c r="C976">
        <v>142077.10956803503</v>
      </c>
      <c r="D976">
        <v>157803.94790001164</v>
      </c>
      <c r="E976">
        <v>75157.136615681593</v>
      </c>
      <c r="F976">
        <v>41203.186381085645</v>
      </c>
      <c r="G976">
        <v>10000</v>
      </c>
      <c r="H976">
        <v>406241.3804648139</v>
      </c>
      <c r="I976">
        <v>34.07338859720457</v>
      </c>
    </row>
    <row r="977" spans="1:9" x14ac:dyDescent="0.2">
      <c r="A977">
        <v>967</v>
      </c>
      <c r="B977">
        <v>1348027.2661855123</v>
      </c>
      <c r="C977">
        <v>107423.33024051473</v>
      </c>
      <c r="D977">
        <v>131119.13898740208</v>
      </c>
      <c r="E977">
        <v>99916.173221338977</v>
      </c>
      <c r="F977">
        <v>42917.27353070808</v>
      </c>
      <c r="G977">
        <v>10000</v>
      </c>
      <c r="H977">
        <v>371375.9159799639</v>
      </c>
      <c r="I977">
        <v>28.999089988209214</v>
      </c>
    </row>
    <row r="978" spans="1:9" x14ac:dyDescent="0.2">
      <c r="A978">
        <v>968</v>
      </c>
      <c r="B978">
        <v>1046594.0681473697</v>
      </c>
      <c r="C978">
        <v>132847.09000334691</v>
      </c>
      <c r="D978">
        <v>42483.218828794103</v>
      </c>
      <c r="E978">
        <v>81772.703497057009</v>
      </c>
      <c r="F978">
        <v>41661.187165180869</v>
      </c>
      <c r="G978">
        <v>10000</v>
      </c>
      <c r="H978">
        <v>288764.19949437887</v>
      </c>
      <c r="I978">
        <v>29.654197889143809</v>
      </c>
    </row>
    <row r="979" spans="1:9" x14ac:dyDescent="0.2">
      <c r="A979">
        <v>969</v>
      </c>
      <c r="B979">
        <v>1489210.2058630513</v>
      </c>
      <c r="C979">
        <v>117108.83287461763</v>
      </c>
      <c r="D979">
        <v>138116.04260100736</v>
      </c>
      <c r="E979">
        <v>120501.6524290963</v>
      </c>
      <c r="F979">
        <v>44342.422091245127</v>
      </c>
      <c r="G979">
        <v>10000</v>
      </c>
      <c r="H979">
        <v>410068.9499959664</v>
      </c>
      <c r="I979">
        <v>40.854803052175377</v>
      </c>
    </row>
    <row r="980" spans="1:9" x14ac:dyDescent="0.2">
      <c r="A980">
        <v>970</v>
      </c>
      <c r="B980">
        <v>857362.49354928604</v>
      </c>
      <c r="C980">
        <v>134611.43873643849</v>
      </c>
      <c r="D980">
        <v>45212.479311594427</v>
      </c>
      <c r="E980">
        <v>29066.587420925716</v>
      </c>
      <c r="F980">
        <v>38012.302206064087</v>
      </c>
      <c r="G980">
        <v>10000</v>
      </c>
      <c r="H980">
        <v>236902.80767502272</v>
      </c>
      <c r="I980">
        <v>42.927560383727915</v>
      </c>
    </row>
    <row r="981" spans="1:9" x14ac:dyDescent="0.2">
      <c r="A981">
        <v>971</v>
      </c>
      <c r="B981">
        <v>1632094.3578134594</v>
      </c>
      <c r="C981">
        <v>89694.100730564984</v>
      </c>
      <c r="D981">
        <v>117541.461328259</v>
      </c>
      <c r="E981">
        <v>202007.52510760736</v>
      </c>
      <c r="F981">
        <v>49985.136353603586</v>
      </c>
      <c r="G981">
        <v>10000</v>
      </c>
      <c r="H981">
        <v>449228.22352003492</v>
      </c>
      <c r="I981">
        <v>32.595485771834717</v>
      </c>
    </row>
    <row r="982" spans="1:9" x14ac:dyDescent="0.2">
      <c r="A982">
        <v>972</v>
      </c>
      <c r="B982">
        <v>1604082.2796431649</v>
      </c>
      <c r="C982">
        <v>137610.9146489164</v>
      </c>
      <c r="D982">
        <v>89226.071381023197</v>
      </c>
      <c r="E982">
        <v>176495.25804867878</v>
      </c>
      <c r="F982">
        <v>48218.902480293145</v>
      </c>
      <c r="G982">
        <v>10000</v>
      </c>
      <c r="H982">
        <v>441551.14655891148</v>
      </c>
      <c r="I982">
        <v>26.720991271061312</v>
      </c>
    </row>
    <row r="983" spans="1:9" x14ac:dyDescent="0.2">
      <c r="A983">
        <v>973</v>
      </c>
      <c r="B983">
        <v>1300035.0373101295</v>
      </c>
      <c r="C983">
        <v>88794.933125873096</v>
      </c>
      <c r="D983">
        <v>125396.51139386051</v>
      </c>
      <c r="E983">
        <v>110389.24044184362</v>
      </c>
      <c r="F983">
        <v>43642.332030589176</v>
      </c>
      <c r="G983">
        <v>10000</v>
      </c>
      <c r="H983">
        <v>358223.01699216641</v>
      </c>
      <c r="I983">
        <v>36.46639236248032</v>
      </c>
    </row>
    <row r="984" spans="1:9" x14ac:dyDescent="0.2">
      <c r="A984">
        <v>974</v>
      </c>
      <c r="B984">
        <v>1681963.8237339435</v>
      </c>
      <c r="C984">
        <v>108650.72514740087</v>
      </c>
      <c r="D984">
        <v>143021.62074300478</v>
      </c>
      <c r="E984">
        <v>173230.38519867699</v>
      </c>
      <c r="F984">
        <v>47992.872821446872</v>
      </c>
      <c r="G984">
        <v>10000</v>
      </c>
      <c r="H984">
        <v>462895.60391052952</v>
      </c>
      <c r="I984">
        <v>37.138066335722115</v>
      </c>
    </row>
    <row r="985" spans="1:9" x14ac:dyDescent="0.2">
      <c r="A985">
        <v>975</v>
      </c>
      <c r="B985">
        <v>1087983.9879559416</v>
      </c>
      <c r="C985">
        <v>109793.78822742379</v>
      </c>
      <c r="D985">
        <v>126005.85854385012</v>
      </c>
      <c r="E985">
        <v>35827.628167761948</v>
      </c>
      <c r="F985">
        <v>38480.374257768133</v>
      </c>
      <c r="G985">
        <v>10000</v>
      </c>
      <c r="H985">
        <v>300107.64919680404</v>
      </c>
      <c r="I985">
        <v>39.606252621370885</v>
      </c>
    </row>
    <row r="986" spans="1:9" x14ac:dyDescent="0.2">
      <c r="A986">
        <v>976</v>
      </c>
      <c r="B986">
        <v>1110217.652843328</v>
      </c>
      <c r="C986">
        <v>147191.43683242894</v>
      </c>
      <c r="D986">
        <v>70930.427745905239</v>
      </c>
      <c r="E986">
        <v>58059.694420239401</v>
      </c>
      <c r="F986">
        <v>40019.517306016576</v>
      </c>
      <c r="G986">
        <v>10000</v>
      </c>
      <c r="H986">
        <v>306201.07630459015</v>
      </c>
      <c r="I986">
        <v>38.847576653891977</v>
      </c>
    </row>
    <row r="987" spans="1:9" x14ac:dyDescent="0.2">
      <c r="A987">
        <v>977</v>
      </c>
      <c r="B987">
        <v>1115556.9496720559</v>
      </c>
      <c r="C987">
        <v>121751.91670733324</v>
      </c>
      <c r="D987">
        <v>77146.981395206909</v>
      </c>
      <c r="E987">
        <v>77406.566309858128</v>
      </c>
      <c r="F987">
        <v>41358.916129144025</v>
      </c>
      <c r="G987">
        <v>10000</v>
      </c>
      <c r="H987">
        <v>307664.38054154231</v>
      </c>
      <c r="I987">
        <v>34.645876694548008</v>
      </c>
    </row>
    <row r="988" spans="1:9" x14ac:dyDescent="0.2">
      <c r="A988">
        <v>978</v>
      </c>
      <c r="B988">
        <v>882748.04461226822</v>
      </c>
      <c r="C988">
        <v>100871.30905148406</v>
      </c>
      <c r="D988">
        <v>75960.192258596566</v>
      </c>
      <c r="E988">
        <v>38372.024400460185</v>
      </c>
      <c r="F988">
        <v>38656.524766185707</v>
      </c>
      <c r="G988">
        <v>10000</v>
      </c>
      <c r="H988">
        <v>243860.05047672652</v>
      </c>
      <c r="I988">
        <v>26.930562323452424</v>
      </c>
    </row>
    <row r="989" spans="1:9" x14ac:dyDescent="0.2">
      <c r="A989">
        <v>979</v>
      </c>
      <c r="B989">
        <v>1418965.4084701028</v>
      </c>
      <c r="C989">
        <v>131538.81961534693</v>
      </c>
      <c r="D989">
        <v>131582.34008024394</v>
      </c>
      <c r="E989">
        <v>95111.631973030424</v>
      </c>
      <c r="F989">
        <v>42584.651444286719</v>
      </c>
      <c r="G989">
        <v>10000</v>
      </c>
      <c r="H989">
        <v>390817.44311290793</v>
      </c>
      <c r="I989">
        <v>40.277439014035224</v>
      </c>
    </row>
    <row r="990" spans="1:9" x14ac:dyDescent="0.2">
      <c r="A990">
        <v>980</v>
      </c>
      <c r="B990">
        <v>1390010.8412226134</v>
      </c>
      <c r="C990">
        <v>99729.373784650947</v>
      </c>
      <c r="D990">
        <v>88436.43598574854</v>
      </c>
      <c r="E990">
        <v>157792.18084531292</v>
      </c>
      <c r="F990">
        <v>46924.074058521663</v>
      </c>
      <c r="G990">
        <v>10000</v>
      </c>
      <c r="H990">
        <v>382882.06467423402</v>
      </c>
      <c r="I990">
        <v>27.540381266149382</v>
      </c>
    </row>
    <row r="991" spans="1:9" x14ac:dyDescent="0.2">
      <c r="A991">
        <v>981</v>
      </c>
      <c r="B991">
        <v>1372813.2667992618</v>
      </c>
      <c r="C991">
        <v>101303.19048694897</v>
      </c>
      <c r="D991">
        <v>35122.968567549971</v>
      </c>
      <c r="E991">
        <v>201773.7342408105</v>
      </c>
      <c r="F991">
        <v>49968.950832056107</v>
      </c>
      <c r="G991">
        <v>10000</v>
      </c>
      <c r="H991">
        <v>378168.84412736556</v>
      </c>
      <c r="I991">
        <v>52.551954980655559</v>
      </c>
    </row>
    <row r="992" spans="1:9" x14ac:dyDescent="0.2">
      <c r="A992">
        <v>982</v>
      </c>
      <c r="B992">
        <v>1424987.6583256461</v>
      </c>
      <c r="C992">
        <v>117468.26793769255</v>
      </c>
      <c r="D992">
        <v>164455.19997058186</v>
      </c>
      <c r="E992">
        <v>79070.350477860804</v>
      </c>
      <c r="F992">
        <v>41474.10118692882</v>
      </c>
      <c r="G992">
        <v>10000</v>
      </c>
      <c r="H992">
        <v>392467.91957306396</v>
      </c>
      <c r="I992">
        <v>33.761713782398431</v>
      </c>
    </row>
    <row r="993" spans="1:9" x14ac:dyDescent="0.2">
      <c r="A993">
        <v>983</v>
      </c>
      <c r="B993">
        <v>1107511.1408957355</v>
      </c>
      <c r="C993">
        <v>130557.43682489307</v>
      </c>
      <c r="D993">
        <v>75391.998036028817</v>
      </c>
      <c r="E993">
        <v>68750.253459231535</v>
      </c>
      <c r="F993">
        <v>40759.632931792956</v>
      </c>
      <c r="G993">
        <v>10000</v>
      </c>
      <c r="H993">
        <v>305459.32125194633</v>
      </c>
      <c r="I993">
        <v>36.412627042388323</v>
      </c>
    </row>
    <row r="994" spans="1:9" x14ac:dyDescent="0.2">
      <c r="A994">
        <v>984</v>
      </c>
      <c r="B994">
        <v>1072066.4533607576</v>
      </c>
      <c r="C994">
        <v>87757.445519288871</v>
      </c>
      <c r="D994">
        <v>125521.48266404083</v>
      </c>
      <c r="E994">
        <v>52810.21999559673</v>
      </c>
      <c r="F994">
        <v>39656.092153541314</v>
      </c>
      <c r="G994">
        <v>10000</v>
      </c>
      <c r="H994">
        <v>295745.24033246777</v>
      </c>
      <c r="I994">
        <v>33.06493037695251</v>
      </c>
    </row>
    <row r="995" spans="1:9" x14ac:dyDescent="0.2">
      <c r="A995">
        <v>985</v>
      </c>
      <c r="B995">
        <v>1432641.2002815364</v>
      </c>
      <c r="C995">
        <v>80816.303377155884</v>
      </c>
      <c r="D995">
        <v>110404.62003955987</v>
      </c>
      <c r="E995">
        <v>165861.8089647489</v>
      </c>
      <c r="F995">
        <v>47482.740620636461</v>
      </c>
      <c r="G995">
        <v>10000</v>
      </c>
      <c r="H995">
        <v>394565.47300210112</v>
      </c>
      <c r="I995">
        <v>35.051593737886179</v>
      </c>
    </row>
    <row r="996" spans="1:9" x14ac:dyDescent="0.2">
      <c r="A996">
        <v>986</v>
      </c>
      <c r="B996">
        <v>1366261.3599744637</v>
      </c>
      <c r="C996">
        <v>96449.706220234701</v>
      </c>
      <c r="D996">
        <v>67125.276945833859</v>
      </c>
      <c r="E996">
        <v>174703.37596529274</v>
      </c>
      <c r="F996">
        <v>48094.849105289504</v>
      </c>
      <c r="G996">
        <v>10000</v>
      </c>
      <c r="H996">
        <v>376373.2082366508</v>
      </c>
      <c r="I996">
        <v>29.226412259083293</v>
      </c>
    </row>
    <row r="997" spans="1:9" x14ac:dyDescent="0.2">
      <c r="A997">
        <v>987</v>
      </c>
      <c r="B997">
        <v>1485147.3956383639</v>
      </c>
      <c r="C997">
        <v>114637.52247221886</v>
      </c>
      <c r="D997">
        <v>65761.976737200937</v>
      </c>
      <c r="E997">
        <v>189440.84874234741</v>
      </c>
      <c r="F997">
        <v>49115.135682162509</v>
      </c>
      <c r="G997">
        <v>10000</v>
      </c>
      <c r="H997">
        <v>408955.48363392975</v>
      </c>
      <c r="I997">
        <v>35.230164297196652</v>
      </c>
    </row>
    <row r="998" spans="1:9" x14ac:dyDescent="0.2">
      <c r="A998">
        <v>988</v>
      </c>
      <c r="B998">
        <v>1320145.9156731768</v>
      </c>
      <c r="C998">
        <v>131296.57937226715</v>
      </c>
      <c r="D998">
        <v>71282.778838156431</v>
      </c>
      <c r="E998">
        <v>126404.24529940801</v>
      </c>
      <c r="F998">
        <v>44751.063136112862</v>
      </c>
      <c r="G998">
        <v>10000</v>
      </c>
      <c r="H998">
        <v>363734.66664594447</v>
      </c>
      <c r="I998">
        <v>33.390332922946428</v>
      </c>
    </row>
    <row r="999" spans="1:9" x14ac:dyDescent="0.2">
      <c r="A999">
        <v>989</v>
      </c>
      <c r="B999">
        <v>984947.6482545688</v>
      </c>
      <c r="C999">
        <v>96473.403500503657</v>
      </c>
      <c r="D999">
        <v>64321.953852968458</v>
      </c>
      <c r="E999">
        <v>79565.455552383297</v>
      </c>
      <c r="F999">
        <v>41508.37769208807</v>
      </c>
      <c r="G999">
        <v>10000</v>
      </c>
      <c r="H999">
        <v>271869.1905979435</v>
      </c>
      <c r="I999">
        <v>37.253386631058405</v>
      </c>
    </row>
    <row r="1000" spans="1:9" x14ac:dyDescent="0.2">
      <c r="A1000">
        <v>990</v>
      </c>
      <c r="B1000">
        <v>1272392.5612762617</v>
      </c>
      <c r="C1000">
        <v>141368.44132762463</v>
      </c>
      <c r="D1000">
        <v>142882.39026754483</v>
      </c>
      <c r="E1000">
        <v>37780.808320688084</v>
      </c>
      <c r="F1000">
        <v>38615.594422201488</v>
      </c>
      <c r="G1000">
        <v>10000</v>
      </c>
      <c r="H1000">
        <v>350647.23433805909</v>
      </c>
      <c r="I1000">
        <v>42.761489005689612</v>
      </c>
    </row>
    <row r="1001" spans="1:9" x14ac:dyDescent="0.2">
      <c r="A1001">
        <v>991</v>
      </c>
      <c r="B1001">
        <v>1511278.6175923226</v>
      </c>
      <c r="C1001">
        <v>120005.96124167852</v>
      </c>
      <c r="D1001">
        <v>48820.188665249014</v>
      </c>
      <c r="E1001">
        <v>206962.74721250799</v>
      </c>
      <c r="F1001">
        <v>50328.190191635164</v>
      </c>
      <c r="G1001">
        <v>10000</v>
      </c>
      <c r="H1001">
        <v>416117.0873110707</v>
      </c>
      <c r="I1001">
        <v>29.01029901783469</v>
      </c>
    </row>
    <row r="1002" spans="1:9" x14ac:dyDescent="0.2">
      <c r="A1002">
        <v>992</v>
      </c>
      <c r="B1002">
        <v>1868622.5375435373</v>
      </c>
      <c r="C1002">
        <v>150121.07811875734</v>
      </c>
      <c r="D1002">
        <v>119682.23937903983</v>
      </c>
      <c r="E1002">
        <v>204117.35081973605</v>
      </c>
      <c r="F1002">
        <v>50131.201210597115</v>
      </c>
      <c r="G1002">
        <v>10000</v>
      </c>
      <c r="H1002">
        <v>514051.86952813034</v>
      </c>
      <c r="I1002">
        <v>38.017303577677254</v>
      </c>
    </row>
    <row r="1003" spans="1:9" x14ac:dyDescent="0.2">
      <c r="A1003">
        <v>993</v>
      </c>
      <c r="B1003">
        <v>813206.57270278037</v>
      </c>
      <c r="C1003">
        <v>104000.11506443738</v>
      </c>
      <c r="D1003">
        <v>47478.287687825796</v>
      </c>
      <c r="E1003">
        <v>44258.823974231993</v>
      </c>
      <c r="F1003">
        <v>39064.072428985288</v>
      </c>
      <c r="G1003">
        <v>10000</v>
      </c>
      <c r="H1003">
        <v>224801.29915548046</v>
      </c>
      <c r="I1003">
        <v>32.119573212049154</v>
      </c>
    </row>
    <row r="1004" spans="1:9" x14ac:dyDescent="0.2">
      <c r="A1004">
        <v>994</v>
      </c>
      <c r="B1004">
        <v>923510.30392299441</v>
      </c>
      <c r="C1004">
        <v>108786.50351739448</v>
      </c>
      <c r="D1004">
        <v>75342.969878613818</v>
      </c>
      <c r="E1004">
        <v>41994.683929738174</v>
      </c>
      <c r="F1004">
        <v>38907.324272058802</v>
      </c>
      <c r="G1004">
        <v>10000</v>
      </c>
      <c r="H1004">
        <v>255031.48159780528</v>
      </c>
      <c r="I1004">
        <v>27.535710310258366</v>
      </c>
    </row>
    <row r="1005" spans="1:9" x14ac:dyDescent="0.2">
      <c r="A1005">
        <v>995</v>
      </c>
      <c r="B1005">
        <v>1432779.7674246766</v>
      </c>
      <c r="C1005">
        <v>157371.57652822044</v>
      </c>
      <c r="D1005">
        <v>74474.350324884508</v>
      </c>
      <c r="E1005">
        <v>127902.71868821424</v>
      </c>
      <c r="F1005">
        <v>44854.803601491752</v>
      </c>
      <c r="G1005">
        <v>10000</v>
      </c>
      <c r="H1005">
        <v>394603.44914281095</v>
      </c>
      <c r="I1005">
        <v>27.024247576215181</v>
      </c>
    </row>
    <row r="1006" spans="1:9" x14ac:dyDescent="0.2">
      <c r="A1006">
        <v>996</v>
      </c>
      <c r="B1006">
        <v>991800.96874449961</v>
      </c>
      <c r="C1006">
        <v>135984.73624713463</v>
      </c>
      <c r="D1006">
        <v>29980.848722304509</v>
      </c>
      <c r="E1006">
        <v>76486.620321721493</v>
      </c>
      <c r="F1006">
        <v>41295.227560734565</v>
      </c>
      <c r="G1006">
        <v>10000</v>
      </c>
      <c r="H1006">
        <v>273747.43285189517</v>
      </c>
      <c r="I1006">
        <v>33.372526530592332</v>
      </c>
    </row>
    <row r="1007" spans="1:9" x14ac:dyDescent="0.2">
      <c r="A1007">
        <v>997</v>
      </c>
      <c r="B1007">
        <v>1178388.9681321289</v>
      </c>
      <c r="C1007">
        <v>114200.82202166335</v>
      </c>
      <c r="D1007">
        <v>131453.74266705837</v>
      </c>
      <c r="E1007">
        <v>49783.222760621073</v>
      </c>
      <c r="F1007">
        <v>39446.530806504539</v>
      </c>
      <c r="G1007">
        <v>10000</v>
      </c>
      <c r="H1007">
        <v>324884.31825584732</v>
      </c>
      <c r="I1007">
        <v>34.34386758287755</v>
      </c>
    </row>
    <row r="1008" spans="1:9" x14ac:dyDescent="0.2">
      <c r="A1008">
        <v>998</v>
      </c>
      <c r="B1008">
        <v>1413679.0973003053</v>
      </c>
      <c r="C1008">
        <v>122326.15679706812</v>
      </c>
      <c r="D1008">
        <v>53157.772474214406</v>
      </c>
      <c r="E1008">
        <v>175719.53260730326</v>
      </c>
      <c r="F1008">
        <v>48165.19841127484</v>
      </c>
      <c r="G1008">
        <v>10000</v>
      </c>
      <c r="H1008">
        <v>389368.66028986056</v>
      </c>
      <c r="I1008">
        <v>32.978439884619164</v>
      </c>
    </row>
    <row r="1009" spans="1:9" x14ac:dyDescent="0.2">
      <c r="A1009">
        <v>999</v>
      </c>
      <c r="B1009">
        <v>1296777.6494796784</v>
      </c>
      <c r="C1009">
        <v>127845.07517255534</v>
      </c>
      <c r="D1009">
        <v>71023.659741168594</v>
      </c>
      <c r="E1009">
        <v>123884.90500447358</v>
      </c>
      <c r="F1009">
        <v>44576.647269540481</v>
      </c>
      <c r="G1009">
        <v>10000</v>
      </c>
      <c r="H1009">
        <v>357330.28718773799</v>
      </c>
      <c r="I1009">
        <v>36.830929887911829</v>
      </c>
    </row>
    <row r="1010" spans="1:9" x14ac:dyDescent="0.2">
      <c r="A1010">
        <v>1000</v>
      </c>
      <c r="B1010">
        <v>1311826.7886782698</v>
      </c>
      <c r="C1010">
        <v>102126.46811605379</v>
      </c>
      <c r="D1010">
        <v>69105.823575415867</v>
      </c>
      <c r="E1010">
        <v>153589.30359340858</v>
      </c>
      <c r="F1010">
        <v>46633.105633389823</v>
      </c>
      <c r="G1010">
        <v>10000</v>
      </c>
      <c r="H1010">
        <v>361454.70091826812</v>
      </c>
      <c r="I1010">
        <v>30.687355776562526</v>
      </c>
    </row>
    <row r="1015" spans="1:9" ht="19" x14ac:dyDescent="0.25">
      <c r="A1015" s="4" t="s">
        <v>630</v>
      </c>
    </row>
    <row r="1016" spans="1:9" x14ac:dyDescent="0.2">
      <c r="A1016" t="s">
        <v>631</v>
      </c>
      <c r="B1016" s="15">
        <f>AVERAGE(B11:B1010)</f>
        <v>1305999.2346253113</v>
      </c>
    </row>
    <row r="1017" spans="1:9" x14ac:dyDescent="0.2">
      <c r="A1017" t="s">
        <v>632</v>
      </c>
      <c r="B1017" s="15">
        <f>PERCENTILE(B11:B1010,0.1)</f>
        <v>968948.13170551113</v>
      </c>
    </row>
    <row r="1018" spans="1:9" x14ac:dyDescent="0.2">
      <c r="A1018" t="s">
        <v>633</v>
      </c>
      <c r="B1018" s="15">
        <f>PERCENTILE(B11:B1010,0.5)</f>
        <v>1298943.2714024275</v>
      </c>
    </row>
    <row r="1019" spans="1:9" x14ac:dyDescent="0.2">
      <c r="A1019" t="s">
        <v>634</v>
      </c>
      <c r="B1019" s="15">
        <f>PERCENTILE(B11:B1010,0.9)</f>
        <v>1646048.9356016584</v>
      </c>
    </row>
    <row r="1020" spans="1:9" x14ac:dyDescent="0.2">
      <c r="A1020" t="s">
        <v>635</v>
      </c>
      <c r="B1020" s="15">
        <f>STDEV(B11:B1010)</f>
        <v>253775.37506882651</v>
      </c>
    </row>
    <row r="1021" spans="1:9" x14ac:dyDescent="0.2">
      <c r="A1021" t="s">
        <v>636</v>
      </c>
      <c r="B1021" s="25">
        <f>COUNTIF(B11:B1010,"&gt;0")/1000</f>
        <v>1</v>
      </c>
    </row>
    <row r="1023" spans="1:9" ht="19" x14ac:dyDescent="0.25">
      <c r="A1023" s="4" t="s">
        <v>637</v>
      </c>
    </row>
    <row r="1024" spans="1:9" x14ac:dyDescent="0.2">
      <c r="A1024" t="s">
        <v>638</v>
      </c>
      <c r="B1024" s="23">
        <f>IFERROR(AVERAGE(I11:I1010),"Run MC")</f>
        <v>36.356370188129041</v>
      </c>
    </row>
    <row r="1025" spans="1:2" x14ac:dyDescent="0.2">
      <c r="A1025" t="s">
        <v>639</v>
      </c>
      <c r="B1025" s="23">
        <f>IFERROR(PERCENTILE(I11:I1010,0.1),"Run MC")</f>
        <v>27.992169571152903</v>
      </c>
    </row>
    <row r="1026" spans="1:2" x14ac:dyDescent="0.2">
      <c r="A1026" t="s">
        <v>640</v>
      </c>
      <c r="B1026" s="23">
        <f>IFERROR(PERCENTILE(I11:I1010,0.5),"Run MC")</f>
        <v>35.70604735338302</v>
      </c>
    </row>
    <row r="1027" spans="1:2" x14ac:dyDescent="0.2">
      <c r="A1027" t="s">
        <v>641</v>
      </c>
      <c r="B1027" s="23">
        <f>IFERROR(PERCENTILE(I11:I1010,0.9),"Run MC")</f>
        <v>45.49766429163342</v>
      </c>
    </row>
    <row r="1028" spans="1:2" x14ac:dyDescent="0.2">
      <c r="A1028" t="s">
        <v>642</v>
      </c>
      <c r="B1028" s="25">
        <f>IFERROR(COUNTIF(I11:I1010,"&lt;="&amp;Season_Length)/1000,"Run MC")</f>
        <v>1</v>
      </c>
    </row>
  </sheetData>
  <mergeCells count="2">
    <mergeCell ref="A4:E4"/>
    <mergeCell ref="A3:E3"/>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4472C4"/>
  </sheetPr>
  <dimension ref="A1:D4"/>
  <sheetViews>
    <sheetView workbookViewId="0"/>
  </sheetViews>
  <sheetFormatPr baseColWidth="10" defaultColWidth="8.83203125" defaultRowHeight="15" x14ac:dyDescent="0.2"/>
  <cols>
    <col min="1" max="1" width="60" customWidth="1"/>
    <col min="2" max="4" width="13" customWidth="1"/>
  </cols>
  <sheetData>
    <row r="1" spans="1:4" ht="21" x14ac:dyDescent="0.25">
      <c r="A1" s="5" t="s">
        <v>643</v>
      </c>
    </row>
    <row r="3" spans="1:4" x14ac:dyDescent="0.2">
      <c r="A3" s="36" t="s">
        <v>644</v>
      </c>
      <c r="B3" s="34"/>
      <c r="C3" s="34"/>
      <c r="D3" s="35"/>
    </row>
    <row r="4" spans="1:4" ht="312" customHeight="1" x14ac:dyDescent="0.2">
      <c r="A4" s="33" t="s">
        <v>645</v>
      </c>
      <c r="B4" s="34"/>
      <c r="C4" s="34"/>
      <c r="D4" s="35"/>
    </row>
  </sheetData>
  <mergeCells count="2">
    <mergeCell ref="A4:D4"/>
    <mergeCell ref="A3:D3"/>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4472C4"/>
  </sheetPr>
  <dimension ref="A1:J23"/>
  <sheetViews>
    <sheetView workbookViewId="0"/>
  </sheetViews>
  <sheetFormatPr baseColWidth="10" defaultColWidth="8.83203125" defaultRowHeight="15" x14ac:dyDescent="0.2"/>
  <cols>
    <col min="1" max="5" width="12" customWidth="1"/>
    <col min="6" max="6" width="14" customWidth="1"/>
    <col min="7" max="7" width="12" customWidth="1"/>
    <col min="8" max="8" width="14" customWidth="1"/>
    <col min="9" max="9" width="16" customWidth="1"/>
    <col min="10" max="10" width="14" customWidth="1"/>
  </cols>
  <sheetData>
    <row r="1" spans="1:10" ht="21" x14ac:dyDescent="0.25">
      <c r="A1" s="5" t="s">
        <v>646</v>
      </c>
    </row>
    <row r="3" spans="1:10" x14ac:dyDescent="0.2">
      <c r="A3" s="36" t="s">
        <v>647</v>
      </c>
      <c r="B3" s="34"/>
      <c r="C3" s="34"/>
      <c r="D3" s="34"/>
      <c r="E3" s="34"/>
      <c r="F3" s="34"/>
      <c r="G3" s="34"/>
      <c r="H3" s="34"/>
      <c r="I3" s="34"/>
      <c r="J3" s="35"/>
    </row>
    <row r="4" spans="1:10" ht="249.5" customHeight="1" x14ac:dyDescent="0.2">
      <c r="A4" s="33" t="s">
        <v>648</v>
      </c>
      <c r="B4" s="34"/>
      <c r="C4" s="34"/>
      <c r="D4" s="34"/>
      <c r="E4" s="34"/>
      <c r="F4" s="34"/>
      <c r="G4" s="34"/>
      <c r="H4" s="34"/>
      <c r="I4" s="34"/>
      <c r="J4" s="35"/>
    </row>
    <row r="6" spans="1:10" x14ac:dyDescent="0.2">
      <c r="A6" s="6" t="s">
        <v>646</v>
      </c>
    </row>
    <row r="7" spans="1:10" ht="15.5" customHeight="1" x14ac:dyDescent="0.2">
      <c r="A7" s="7" t="s">
        <v>46</v>
      </c>
      <c r="B7" s="31" t="s">
        <v>649</v>
      </c>
      <c r="C7" s="32"/>
      <c r="D7" s="32"/>
      <c r="E7" s="32"/>
      <c r="F7" s="32"/>
      <c r="G7" s="32"/>
      <c r="H7" s="32"/>
      <c r="I7" s="32"/>
      <c r="J7" s="32"/>
    </row>
    <row r="8" spans="1:10" ht="15.5" customHeight="1" x14ac:dyDescent="0.2">
      <c r="A8" s="7" t="s">
        <v>48</v>
      </c>
      <c r="B8" s="31" t="s">
        <v>650</v>
      </c>
      <c r="C8" s="32"/>
      <c r="D8" s="32"/>
      <c r="E8" s="32"/>
      <c r="F8" s="32"/>
      <c r="G8" s="32"/>
      <c r="H8" s="32"/>
      <c r="I8" s="32"/>
      <c r="J8" s="32"/>
    </row>
    <row r="9" spans="1:10" ht="46.75" customHeight="1" x14ac:dyDescent="0.2">
      <c r="A9" s="7" t="s">
        <v>50</v>
      </c>
      <c r="B9" s="31" t="s">
        <v>651</v>
      </c>
      <c r="C9" s="32"/>
      <c r="D9" s="32"/>
      <c r="E9" s="32"/>
      <c r="F9" s="32"/>
      <c r="G9" s="32"/>
      <c r="H9" s="32"/>
      <c r="I9" s="32"/>
      <c r="J9" s="32"/>
    </row>
    <row r="10" spans="1:10" ht="15.5" customHeight="1" x14ac:dyDescent="0.2">
      <c r="A10" s="7" t="s">
        <v>52</v>
      </c>
      <c r="B10" s="31" t="s">
        <v>652</v>
      </c>
      <c r="C10" s="32"/>
      <c r="D10" s="32"/>
      <c r="E10" s="32"/>
      <c r="F10" s="32"/>
      <c r="G10" s="32"/>
      <c r="H10" s="32"/>
      <c r="I10" s="32"/>
      <c r="J10" s="32"/>
    </row>
    <row r="11" spans="1:10" ht="15.5" customHeight="1" x14ac:dyDescent="0.2">
      <c r="A11" s="7" t="s">
        <v>54</v>
      </c>
      <c r="B11" s="31" t="s">
        <v>653</v>
      </c>
      <c r="C11" s="32"/>
      <c r="D11" s="32"/>
      <c r="E11" s="32"/>
      <c r="F11" s="32"/>
      <c r="G11" s="32"/>
      <c r="H11" s="32"/>
      <c r="I11" s="32"/>
      <c r="J11" s="32"/>
    </row>
    <row r="12" spans="1:10" x14ac:dyDescent="0.2">
      <c r="A12" s="8" t="s">
        <v>295</v>
      </c>
      <c r="B12" s="8" t="s">
        <v>654</v>
      </c>
      <c r="C12" s="8" t="s">
        <v>655</v>
      </c>
      <c r="D12" s="8" t="s">
        <v>656</v>
      </c>
      <c r="E12" s="8" t="s">
        <v>657</v>
      </c>
      <c r="F12" s="8" t="s">
        <v>658</v>
      </c>
      <c r="G12" s="8" t="s">
        <v>659</v>
      </c>
      <c r="H12" s="8" t="s">
        <v>660</v>
      </c>
      <c r="I12" s="8" t="s">
        <v>487</v>
      </c>
      <c r="J12" s="8" t="s">
        <v>661</v>
      </c>
    </row>
    <row r="13" spans="1:10" x14ac:dyDescent="0.2">
      <c r="A13">
        <f>Base_Year+0</f>
        <v>2026</v>
      </c>
      <c r="B13" s="15">
        <f ca="1">S1_Value*INDEX(Timeline_LearningMult,2)</f>
        <v>66453.400337405576</v>
      </c>
      <c r="C13" s="15">
        <f ca="1">S2_Value*INDEX(Timeline_LearningMult,2)</f>
        <v>42240.656605406613</v>
      </c>
      <c r="D13" s="15">
        <f ca="1">S3_Value*INDEX(Timeline_LearningMult,2)</f>
        <v>92006.853613262341</v>
      </c>
      <c r="E13" s="15">
        <f ca="1">S4_Value*INDEX(Timeline_LearningMult,2)</f>
        <v>24369.705250148931</v>
      </c>
      <c r="F13" s="15">
        <f ca="1">SUM(B13:E13)</f>
        <v>225070.61580622345</v>
      </c>
      <c r="G13" s="15">
        <f>Testing_Cost</f>
        <v>10000</v>
      </c>
      <c r="H13" s="15">
        <f ca="1">F13-G13</f>
        <v>215070.61580622345</v>
      </c>
      <c r="I13">
        <f>INDEX(Timeline_DiscountFactor,2)</f>
        <v>0.95419847328244267</v>
      </c>
      <c r="J13" s="15">
        <f ca="1">H13*I13</f>
        <v>205220.05325021318</v>
      </c>
    </row>
    <row r="14" spans="1:10" x14ac:dyDescent="0.2">
      <c r="A14">
        <f>Base_Year+1</f>
        <v>2027</v>
      </c>
      <c r="B14" s="15">
        <f ca="1">S1_Value*INDEX(Timeline_LearningMult,3)</f>
        <v>99680.100506108371</v>
      </c>
      <c r="C14" s="15">
        <f ca="1">S2_Value*INDEX(Timeline_LearningMult,3)</f>
        <v>63360.984908109924</v>
      </c>
      <c r="D14" s="15">
        <f ca="1">S3_Value*INDEX(Timeline_LearningMult,3)</f>
        <v>138010.2804198935</v>
      </c>
      <c r="E14" s="15">
        <f ca="1">S4_Value*INDEX(Timeline_LearningMult,3)</f>
        <v>36554.5578752234</v>
      </c>
      <c r="F14" s="15">
        <f ca="1">SUM(B14:E14)</f>
        <v>337605.92370933521</v>
      </c>
      <c r="G14" s="15">
        <f>Testing_Cost</f>
        <v>10000</v>
      </c>
      <c r="H14" s="15">
        <f ca="1">F14-G14</f>
        <v>327605.92370933521</v>
      </c>
      <c r="I14">
        <f>INDEX(Timeline_DiscountFactor,3)</f>
        <v>0.91049472641454443</v>
      </c>
      <c r="J14" s="15">
        <f ca="1">H14*I14</f>
        <v>298283.46587951528</v>
      </c>
    </row>
    <row r="15" spans="1:10" x14ac:dyDescent="0.2">
      <c r="A15">
        <f>Base_Year+2</f>
        <v>2028</v>
      </c>
      <c r="B15" s="15">
        <f ca="1">S1_Value*INDEX(Timeline_LearningMult,4)</f>
        <v>132906.80067481115</v>
      </c>
      <c r="C15" s="15">
        <f ca="1">S2_Value*INDEX(Timeline_LearningMult,4)</f>
        <v>84481.313210813227</v>
      </c>
      <c r="D15" s="15">
        <f ca="1">S3_Value*INDEX(Timeline_LearningMult,4)</f>
        <v>184013.70722652468</v>
      </c>
      <c r="E15" s="15">
        <f ca="1">S4_Value*INDEX(Timeline_LearningMult,4)</f>
        <v>48739.410500297861</v>
      </c>
      <c r="F15" s="15">
        <f ca="1">SUM(B15:E15)</f>
        <v>450141.23161244689</v>
      </c>
      <c r="G15" s="15">
        <f>Testing_Cost</f>
        <v>10000</v>
      </c>
      <c r="H15" s="15">
        <f ca="1">F15-G15</f>
        <v>440141.23161244689</v>
      </c>
      <c r="I15">
        <f>INDEX(Timeline_DiscountFactor,4)</f>
        <v>0.86879267787647374</v>
      </c>
      <c r="J15" s="15">
        <f ca="1">H15*I15</f>
        <v>382391.47925642697</v>
      </c>
    </row>
    <row r="16" spans="1:10" x14ac:dyDescent="0.2">
      <c r="A16">
        <f>Base_Year+3</f>
        <v>2029</v>
      </c>
      <c r="B16" s="15">
        <f ca="1">S1_Value*INDEX(Timeline_LearningMult,5)</f>
        <v>132906.80067481115</v>
      </c>
      <c r="C16" s="15">
        <f ca="1">S2_Value*INDEX(Timeline_LearningMult,5)</f>
        <v>84481.313210813227</v>
      </c>
      <c r="D16" s="15">
        <f ca="1">S3_Value*INDEX(Timeline_LearningMult,5)</f>
        <v>184013.70722652468</v>
      </c>
      <c r="E16" s="15">
        <f ca="1">S4_Value*INDEX(Timeline_LearningMult,5)</f>
        <v>48739.410500297861</v>
      </c>
      <c r="F16" s="15">
        <f ca="1">SUM(B16:E16)</f>
        <v>450141.23161244689</v>
      </c>
      <c r="G16" s="15">
        <f>Testing_Cost</f>
        <v>10000</v>
      </c>
      <c r="H16" s="15">
        <f ca="1">F16-G16</f>
        <v>440141.23161244689</v>
      </c>
      <c r="I16">
        <f>INDEX(Timeline_DiscountFactor,5)</f>
        <v>0.82900064682869612</v>
      </c>
      <c r="J16" s="15">
        <f ca="1">H16*I16</f>
        <v>364877.36570269743</v>
      </c>
    </row>
    <row r="17" spans="1:10" x14ac:dyDescent="0.2">
      <c r="A17">
        <f>Base_Year+4</f>
        <v>2030</v>
      </c>
      <c r="B17" s="15">
        <f ca="1">S1_Value*INDEX(Timeline_LearningMult,6)</f>
        <v>132906.80067481115</v>
      </c>
      <c r="C17" s="15">
        <f ca="1">S2_Value*INDEX(Timeline_LearningMult,6)</f>
        <v>84481.313210813227</v>
      </c>
      <c r="D17" s="15">
        <f ca="1">S3_Value*INDEX(Timeline_LearningMult,6)</f>
        <v>184013.70722652468</v>
      </c>
      <c r="E17" s="15">
        <f ca="1">S4_Value*INDEX(Timeline_LearningMult,6)</f>
        <v>48739.410500297861</v>
      </c>
      <c r="F17" s="15">
        <f ca="1">SUM(B17:E17)</f>
        <v>450141.23161244689</v>
      </c>
      <c r="G17" s="15">
        <f>Testing_Cost</f>
        <v>10000</v>
      </c>
      <c r="H17" s="15">
        <f ca="1">F17-G17</f>
        <v>440141.23161244689</v>
      </c>
      <c r="I17">
        <f>INDEX(Timeline_DiscountFactor,6)</f>
        <v>0.79103115155409931</v>
      </c>
      <c r="J17" s="15">
        <f ca="1">H17*I17</f>
        <v>348165.42528883339</v>
      </c>
    </row>
    <row r="20" spans="1:10" ht="19" x14ac:dyDescent="0.25">
      <c r="A20" s="4" t="s">
        <v>662</v>
      </c>
    </row>
    <row r="21" spans="1:10" x14ac:dyDescent="0.2">
      <c r="A21" t="s">
        <v>663</v>
      </c>
      <c r="B21" s="15">
        <f ca="1">SUM(J13:J17)</f>
        <v>1598937.7893776863</v>
      </c>
    </row>
    <row r="22" spans="1:10" x14ac:dyDescent="0.2">
      <c r="A22" t="s">
        <v>664</v>
      </c>
      <c r="B22" s="15">
        <f ca="1">SUM(F13:F17)</f>
        <v>1913100.2343528995</v>
      </c>
    </row>
    <row r="23" spans="1:10" x14ac:dyDescent="0.2">
      <c r="A23" t="s">
        <v>665</v>
      </c>
      <c r="B23" s="15">
        <f ca="1">SUM(H13:H17)</f>
        <v>1863100.2343528995</v>
      </c>
    </row>
  </sheetData>
  <mergeCells count="7">
    <mergeCell ref="B7:J7"/>
    <mergeCell ref="B11:J11"/>
    <mergeCell ref="B10:J10"/>
    <mergeCell ref="A3:J3"/>
    <mergeCell ref="B9:J9"/>
    <mergeCell ref="A4:J4"/>
    <mergeCell ref="B8:J8"/>
  </mergeCell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4472C4"/>
  </sheetPr>
  <dimension ref="A1:D17"/>
  <sheetViews>
    <sheetView workbookViewId="0"/>
  </sheetViews>
  <sheetFormatPr baseColWidth="10" defaultColWidth="8.83203125" defaultRowHeight="15" x14ac:dyDescent="0.2"/>
  <cols>
    <col min="1" max="1" width="12" customWidth="1"/>
    <col min="2" max="4" width="16" customWidth="1"/>
  </cols>
  <sheetData>
    <row r="1" spans="1:4" ht="21" x14ac:dyDescent="0.25">
      <c r="A1" s="5" t="s">
        <v>666</v>
      </c>
    </row>
    <row r="3" spans="1:4" x14ac:dyDescent="0.2">
      <c r="A3" s="36" t="s">
        <v>667</v>
      </c>
      <c r="B3" s="34"/>
      <c r="C3" s="34"/>
      <c r="D3" s="35"/>
    </row>
    <row r="4" spans="1:4" ht="312" customHeight="1" x14ac:dyDescent="0.2">
      <c r="A4" s="33" t="s">
        <v>668</v>
      </c>
      <c r="B4" s="34"/>
      <c r="C4" s="34"/>
      <c r="D4" s="35"/>
    </row>
    <row r="6" spans="1:4" x14ac:dyDescent="0.2">
      <c r="A6" s="6" t="s">
        <v>669</v>
      </c>
    </row>
    <row r="7" spans="1:4" ht="31.25" customHeight="1" x14ac:dyDescent="0.2">
      <c r="A7" s="7" t="s">
        <v>46</v>
      </c>
      <c r="B7" s="31" t="s">
        <v>670</v>
      </c>
      <c r="C7" s="32"/>
      <c r="D7" s="32"/>
    </row>
    <row r="8" spans="1:4" ht="31.25" customHeight="1" x14ac:dyDescent="0.2">
      <c r="A8" s="7" t="s">
        <v>48</v>
      </c>
      <c r="B8" s="31" t="s">
        <v>671</v>
      </c>
      <c r="C8" s="32"/>
      <c r="D8" s="32"/>
    </row>
    <row r="9" spans="1:4" ht="62.5" customHeight="1" x14ac:dyDescent="0.2">
      <c r="A9" s="7" t="s">
        <v>50</v>
      </c>
      <c r="B9" s="31" t="s">
        <v>672</v>
      </c>
      <c r="C9" s="32"/>
      <c r="D9" s="32"/>
    </row>
    <row r="10" spans="1:4" ht="15.5" customHeight="1" x14ac:dyDescent="0.2">
      <c r="A10" s="7" t="s">
        <v>52</v>
      </c>
      <c r="B10" s="31" t="s">
        <v>673</v>
      </c>
      <c r="C10" s="32"/>
      <c r="D10" s="32"/>
    </row>
    <row r="11" spans="1:4" ht="15.5" customHeight="1" x14ac:dyDescent="0.2">
      <c r="A11" s="7" t="s">
        <v>54</v>
      </c>
      <c r="B11" s="31" t="s">
        <v>674</v>
      </c>
      <c r="C11" s="32"/>
      <c r="D11" s="32"/>
    </row>
    <row r="12" spans="1:4" x14ac:dyDescent="0.2">
      <c r="A12" s="8" t="s">
        <v>295</v>
      </c>
      <c r="B12" s="8" t="s">
        <v>675</v>
      </c>
      <c r="C12" s="8" t="s">
        <v>676</v>
      </c>
      <c r="D12" s="8" t="s">
        <v>677</v>
      </c>
    </row>
    <row r="13" spans="1:4" x14ac:dyDescent="0.2">
      <c r="A13">
        <f>Base_Year+0</f>
        <v>2026</v>
      </c>
      <c r="B13" s="15">
        <f ca="1">INDEX(tbl_Annual[Net_Annual],1)</f>
        <v>215070.61580622345</v>
      </c>
      <c r="C13" s="15">
        <f ca="1">B13</f>
        <v>215070.61580622345</v>
      </c>
      <c r="D13" s="15">
        <f ca="1">INDEX(tbl_Annual[Discounted],1)</f>
        <v>205220.05325021318</v>
      </c>
    </row>
    <row r="14" spans="1:4" x14ac:dyDescent="0.2">
      <c r="A14">
        <f>Base_Year+1</f>
        <v>2027</v>
      </c>
      <c r="B14" s="15">
        <f ca="1">INDEX(tbl_Annual[Net_Annual],2)</f>
        <v>327605.92370933521</v>
      </c>
      <c r="C14" s="15">
        <f ca="1">C13+B14</f>
        <v>542676.53951555863</v>
      </c>
      <c r="D14" s="15">
        <f ca="1">D13+INDEX(tbl_Annual[Discounted],2)</f>
        <v>503503.51912972843</v>
      </c>
    </row>
    <row r="15" spans="1:4" x14ac:dyDescent="0.2">
      <c r="A15">
        <f>Base_Year+2</f>
        <v>2028</v>
      </c>
      <c r="B15" s="15">
        <f ca="1">INDEX(tbl_Annual[Net_Annual],3)</f>
        <v>440141.23161244689</v>
      </c>
      <c r="C15" s="15">
        <f ca="1">C14+B15</f>
        <v>982817.77112800558</v>
      </c>
      <c r="D15" s="15">
        <f ca="1">D14+INDEX(tbl_Annual[Discounted],3)</f>
        <v>885894.99838615535</v>
      </c>
    </row>
    <row r="16" spans="1:4" x14ac:dyDescent="0.2">
      <c r="A16">
        <f>Base_Year+3</f>
        <v>2029</v>
      </c>
      <c r="B16" s="15">
        <f ca="1">INDEX(tbl_Annual[Net_Annual],4)</f>
        <v>440141.23161244689</v>
      </c>
      <c r="C16" s="15">
        <f ca="1">C15+B16</f>
        <v>1422959.0027404525</v>
      </c>
      <c r="D16" s="15">
        <f ca="1">D15+INDEX(tbl_Annual[Discounted],4)</f>
        <v>1250772.3640888529</v>
      </c>
    </row>
    <row r="17" spans="1:4" x14ac:dyDescent="0.2">
      <c r="A17">
        <f>Base_Year+4</f>
        <v>2030</v>
      </c>
      <c r="B17" s="15">
        <f ca="1">INDEX(tbl_Annual[Net_Annual],5)</f>
        <v>440141.23161244689</v>
      </c>
      <c r="C17" s="15">
        <f ca="1">C16+B17</f>
        <v>1863100.2343528995</v>
      </c>
      <c r="D17" s="15">
        <f ca="1">D16+INDEX(tbl_Annual[Discounted],5)</f>
        <v>1598937.7893776863</v>
      </c>
    </row>
  </sheetData>
  <mergeCells count="7">
    <mergeCell ref="B10:D10"/>
    <mergeCell ref="B11:D11"/>
    <mergeCell ref="A4:D4"/>
    <mergeCell ref="B8:D8"/>
    <mergeCell ref="A3:D3"/>
    <mergeCell ref="B9:D9"/>
    <mergeCell ref="B7:D7"/>
  </mergeCell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4472C4"/>
  </sheetPr>
  <dimension ref="A1:D27"/>
  <sheetViews>
    <sheetView workbookViewId="0"/>
  </sheetViews>
  <sheetFormatPr baseColWidth="10" defaultColWidth="8.83203125" defaultRowHeight="15" x14ac:dyDescent="0.2"/>
  <cols>
    <col min="1" max="1" width="28" customWidth="1"/>
    <col min="2" max="2" width="18" customWidth="1"/>
    <col min="3" max="3" width="10" customWidth="1"/>
    <col min="4" max="4" width="25" customWidth="1"/>
  </cols>
  <sheetData>
    <row r="1" spans="1:4" ht="21" x14ac:dyDescent="0.25">
      <c r="A1" s="5" t="s">
        <v>678</v>
      </c>
    </row>
    <row r="3" spans="1:4" x14ac:dyDescent="0.2">
      <c r="A3" s="36" t="s">
        <v>679</v>
      </c>
      <c r="B3" s="34"/>
      <c r="C3" s="34"/>
      <c r="D3" s="35"/>
    </row>
    <row r="4" spans="1:4" ht="327.5" customHeight="1" x14ac:dyDescent="0.2">
      <c r="A4" s="33" t="s">
        <v>680</v>
      </c>
      <c r="B4" s="34"/>
      <c r="C4" s="34"/>
      <c r="D4" s="35"/>
    </row>
    <row r="6" spans="1:4" x14ac:dyDescent="0.2">
      <c r="A6" s="6" t="s">
        <v>678</v>
      </c>
    </row>
    <row r="7" spans="1:4" ht="31.25" customHeight="1" x14ac:dyDescent="0.2">
      <c r="A7" s="7" t="s">
        <v>46</v>
      </c>
      <c r="B7" s="31" t="s">
        <v>681</v>
      </c>
      <c r="C7" s="32"/>
      <c r="D7" s="32"/>
    </row>
    <row r="8" spans="1:4" ht="31.25" customHeight="1" x14ac:dyDescent="0.2">
      <c r="A8" s="7" t="s">
        <v>48</v>
      </c>
      <c r="B8" s="31" t="s">
        <v>682</v>
      </c>
      <c r="C8" s="32"/>
      <c r="D8" s="32"/>
    </row>
    <row r="9" spans="1:4" ht="78" customHeight="1" x14ac:dyDescent="0.2">
      <c r="A9" s="7" t="s">
        <v>50</v>
      </c>
      <c r="B9" s="31" t="s">
        <v>683</v>
      </c>
      <c r="C9" s="32"/>
      <c r="D9" s="32"/>
    </row>
    <row r="10" spans="1:4" ht="31.25" customHeight="1" x14ac:dyDescent="0.2">
      <c r="A10" s="7" t="s">
        <v>52</v>
      </c>
      <c r="B10" s="31" t="s">
        <v>684</v>
      </c>
      <c r="C10" s="32"/>
      <c r="D10" s="32"/>
    </row>
    <row r="11" spans="1:4" ht="15.5" customHeight="1" x14ac:dyDescent="0.2">
      <c r="A11" s="7" t="s">
        <v>54</v>
      </c>
      <c r="B11" s="31" t="s">
        <v>685</v>
      </c>
      <c r="C11" s="32"/>
      <c r="D11" s="32"/>
    </row>
    <row r="12" spans="1:4" x14ac:dyDescent="0.2">
      <c r="A12" s="8" t="s">
        <v>491</v>
      </c>
      <c r="B12" s="8" t="s">
        <v>57</v>
      </c>
      <c r="C12" s="8" t="s">
        <v>227</v>
      </c>
      <c r="D12" s="8" t="s">
        <v>492</v>
      </c>
    </row>
    <row r="13" spans="1:4" x14ac:dyDescent="0.2">
      <c r="A13" t="s">
        <v>686</v>
      </c>
      <c r="B13">
        <f>Annual_Throughput</f>
        <v>50000</v>
      </c>
      <c r="C13" t="s">
        <v>273</v>
      </c>
      <c r="D13" t="s">
        <v>687</v>
      </c>
    </row>
    <row r="14" spans="1:4" x14ac:dyDescent="0.2">
      <c r="A14" t="s">
        <v>688</v>
      </c>
      <c r="B14" s="28">
        <f ca="1">Gross_Value</f>
        <v>450141.23161244689</v>
      </c>
      <c r="C14" t="s">
        <v>287</v>
      </c>
      <c r="D14" t="s">
        <v>689</v>
      </c>
    </row>
    <row r="15" spans="1:4" x14ac:dyDescent="0.2">
      <c r="A15" t="s">
        <v>690</v>
      </c>
      <c r="B15" s="28" t="e">
        <f ca="1">AdjustedValue</f>
        <v>#NAME?</v>
      </c>
      <c r="C15" t="s">
        <v>287</v>
      </c>
      <c r="D15" t="s">
        <v>691</v>
      </c>
    </row>
    <row r="16" spans="1:4" x14ac:dyDescent="0.2">
      <c r="A16" t="s">
        <v>692</v>
      </c>
      <c r="B16" s="28">
        <f>Testing_Cost</f>
        <v>10000</v>
      </c>
      <c r="C16" t="s">
        <v>287</v>
      </c>
      <c r="D16" t="s">
        <v>693</v>
      </c>
    </row>
    <row r="17" spans="1:4" x14ac:dyDescent="0.2">
      <c r="A17" t="s">
        <v>694</v>
      </c>
      <c r="B17" s="28" t="e">
        <f ca="1">AdjustedValue-Testing_Cost</f>
        <v>#NAME?</v>
      </c>
      <c r="C17" t="s">
        <v>287</v>
      </c>
      <c r="D17" t="s">
        <v>695</v>
      </c>
    </row>
    <row r="18" spans="1:4" x14ac:dyDescent="0.2">
      <c r="A18" t="s">
        <v>696</v>
      </c>
      <c r="B18" s="28">
        <f ca="1">Gross_Value/Annual_Throughput</f>
        <v>9.002824632248938</v>
      </c>
      <c r="C18" t="s">
        <v>276</v>
      </c>
      <c r="D18" t="s">
        <v>697</v>
      </c>
    </row>
    <row r="19" spans="1:4" x14ac:dyDescent="0.2">
      <c r="A19" t="s">
        <v>698</v>
      </c>
      <c r="B19" s="28" t="e">
        <f ca="1">(AdjustedValue-Testing_Cost)/Annual_Throughput</f>
        <v>#NAME?</v>
      </c>
      <c r="C19" t="s">
        <v>276</v>
      </c>
      <c r="D19" t="s">
        <v>699</v>
      </c>
    </row>
    <row r="20" spans="1:4" x14ac:dyDescent="0.2">
      <c r="A20" t="s">
        <v>700</v>
      </c>
      <c r="B20" s="28">
        <f>Testing_Cost/Annual_Throughput</f>
        <v>0.2</v>
      </c>
      <c r="C20" t="s">
        <v>276</v>
      </c>
      <c r="D20" t="s">
        <v>701</v>
      </c>
    </row>
    <row r="21" spans="1:4" x14ac:dyDescent="0.2">
      <c r="A21" t="s">
        <v>702</v>
      </c>
      <c r="B21" s="28">
        <f ca="1">NPV_Total/(Annual_Throughput*5)</f>
        <v>6.3957511575107455</v>
      </c>
      <c r="C21" t="s">
        <v>276</v>
      </c>
      <c r="D21" t="s">
        <v>703</v>
      </c>
    </row>
    <row r="24" spans="1:4" ht="19" x14ac:dyDescent="0.25">
      <c r="A24" s="4" t="s">
        <v>704</v>
      </c>
    </row>
    <row r="25" spans="1:4" x14ac:dyDescent="0.2">
      <c r="A25" t="s">
        <v>705</v>
      </c>
      <c r="B25" s="15">
        <f>INDEX(TestOpt_Cost,MATCH(Testing_Option,TestOpt_Option,0))</f>
        <v>10</v>
      </c>
    </row>
    <row r="26" spans="1:4" x14ac:dyDescent="0.2">
      <c r="A26" t="s">
        <v>706</v>
      </c>
      <c r="B26">
        <f>Testing_Cost/INDEX(TestOpt_Cost,MATCH(Testing_Option,TestOpt_Option,0))</f>
        <v>1000</v>
      </c>
    </row>
    <row r="27" spans="1:4" x14ac:dyDescent="0.2">
      <c r="A27" t="s">
        <v>707</v>
      </c>
      <c r="B27" s="28" t="e">
        <f ca="1">(AdjustedValue-Testing_Cost)/(Testing_Cost/INDEX(TestOpt_Cost,MATCH(Testing_Option,TestOpt_Option,0)))</f>
        <v>#NAME?</v>
      </c>
    </row>
  </sheetData>
  <mergeCells count="7">
    <mergeCell ref="B10:D10"/>
    <mergeCell ref="B11:D11"/>
    <mergeCell ref="A4:D4"/>
    <mergeCell ref="B8:D8"/>
    <mergeCell ref="A3:D3"/>
    <mergeCell ref="B9:D9"/>
    <mergeCell ref="B7:D7"/>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4472C4"/>
  </sheetPr>
  <dimension ref="A1:G27"/>
  <sheetViews>
    <sheetView workbookViewId="0"/>
  </sheetViews>
  <sheetFormatPr baseColWidth="10" defaultColWidth="8.83203125" defaultRowHeight="15" x14ac:dyDescent="0.2"/>
  <cols>
    <col min="1" max="1" width="18" customWidth="1"/>
    <col min="2" max="4" width="12" customWidth="1"/>
    <col min="5" max="7" width="15" customWidth="1"/>
  </cols>
  <sheetData>
    <row r="1" spans="1:7" ht="21" x14ac:dyDescent="0.25">
      <c r="A1" s="5" t="s">
        <v>708</v>
      </c>
    </row>
    <row r="3" spans="1:7" x14ac:dyDescent="0.2">
      <c r="A3" s="36" t="s">
        <v>709</v>
      </c>
      <c r="B3" s="34"/>
      <c r="C3" s="34"/>
      <c r="D3" s="34"/>
      <c r="E3" s="34"/>
      <c r="F3" s="34"/>
      <c r="G3" s="35"/>
    </row>
    <row r="4" spans="1:7" ht="374.5" customHeight="1" x14ac:dyDescent="0.2">
      <c r="A4" s="33" t="s">
        <v>710</v>
      </c>
      <c r="B4" s="34"/>
      <c r="C4" s="34"/>
      <c r="D4" s="34"/>
      <c r="E4" s="34"/>
      <c r="F4" s="34"/>
      <c r="G4" s="35"/>
    </row>
    <row r="6" spans="1:7" x14ac:dyDescent="0.2">
      <c r="A6" s="6" t="s">
        <v>708</v>
      </c>
    </row>
    <row r="7" spans="1:7" ht="31.25" customHeight="1" x14ac:dyDescent="0.2">
      <c r="A7" s="7" t="s">
        <v>46</v>
      </c>
      <c r="B7" s="31" t="s">
        <v>711</v>
      </c>
      <c r="C7" s="32"/>
      <c r="D7" s="32"/>
      <c r="E7" s="32"/>
      <c r="F7" s="32"/>
      <c r="G7" s="32"/>
    </row>
    <row r="8" spans="1:7" ht="15.5" customHeight="1" x14ac:dyDescent="0.2">
      <c r="A8" s="7" t="s">
        <v>48</v>
      </c>
      <c r="B8" s="31" t="s">
        <v>712</v>
      </c>
      <c r="C8" s="32"/>
      <c r="D8" s="32"/>
      <c r="E8" s="32"/>
      <c r="F8" s="32"/>
      <c r="G8" s="32"/>
    </row>
    <row r="9" spans="1:7" ht="46.75" customHeight="1" x14ac:dyDescent="0.2">
      <c r="A9" s="7" t="s">
        <v>50</v>
      </c>
      <c r="B9" s="31" t="s">
        <v>713</v>
      </c>
      <c r="C9" s="32"/>
      <c r="D9" s="32"/>
      <c r="E9" s="32"/>
      <c r="F9" s="32"/>
      <c r="G9" s="32"/>
    </row>
    <row r="10" spans="1:7" ht="15.5" customHeight="1" x14ac:dyDescent="0.2">
      <c r="A10" s="7" t="s">
        <v>52</v>
      </c>
      <c r="B10" s="31" t="s">
        <v>714</v>
      </c>
      <c r="C10" s="32"/>
      <c r="D10" s="32"/>
      <c r="E10" s="32"/>
      <c r="F10" s="32"/>
      <c r="G10" s="32"/>
    </row>
    <row r="11" spans="1:7" ht="15.5" customHeight="1" x14ac:dyDescent="0.2">
      <c r="A11" s="7" t="s">
        <v>54</v>
      </c>
      <c r="B11" s="31" t="s">
        <v>715</v>
      </c>
      <c r="C11" s="32"/>
      <c r="D11" s="32"/>
      <c r="E11" s="32"/>
      <c r="F11" s="32"/>
      <c r="G11" s="32"/>
    </row>
    <row r="12" spans="1:7" x14ac:dyDescent="0.2">
      <c r="A12" s="8" t="s">
        <v>56</v>
      </c>
      <c r="B12" s="8" t="s">
        <v>468</v>
      </c>
      <c r="C12" s="8" t="s">
        <v>65</v>
      </c>
      <c r="D12" s="8" t="s">
        <v>469</v>
      </c>
      <c r="E12" s="8" t="s">
        <v>716</v>
      </c>
      <c r="F12" s="8" t="s">
        <v>717</v>
      </c>
      <c r="G12" s="8" t="s">
        <v>718</v>
      </c>
    </row>
    <row r="13" spans="1:7" x14ac:dyDescent="0.2">
      <c r="A13" t="s">
        <v>719</v>
      </c>
      <c r="B13">
        <v>3</v>
      </c>
      <c r="C13">
        <v>5</v>
      </c>
      <c r="D13">
        <v>10</v>
      </c>
      <c r="E13" s="15">
        <f ca="1">NPV_Total*(B13/C13)</f>
        <v>959362.67362661171</v>
      </c>
      <c r="F13" s="15">
        <f ca="1">NPV_Total*(D13/C13)</f>
        <v>3197875.5787553727</v>
      </c>
      <c r="G13" s="15">
        <f ca="1">ABS(F13-E13)</f>
        <v>2238512.9051287612</v>
      </c>
    </row>
    <row r="14" spans="1:7" x14ac:dyDescent="0.2">
      <c r="A14" t="s">
        <v>67</v>
      </c>
      <c r="B14">
        <v>0.04</v>
      </c>
      <c r="C14">
        <v>4.8000000000000001E-2</v>
      </c>
      <c r="D14">
        <v>0.06</v>
      </c>
      <c r="E14" s="15">
        <f ca="1">NPV_Total*((1+C14)/(1+B14))^2.5</f>
        <v>1629864.2171774504</v>
      </c>
      <c r="F14" s="15">
        <f ca="1">NPV_Total*((1+C14)/(1+D14))^2.5</f>
        <v>1554068.3303096062</v>
      </c>
      <c r="G14" s="15">
        <f ca="1">ABS(F14-E14)</f>
        <v>75795.886867844267</v>
      </c>
    </row>
    <row r="15" spans="1:7" x14ac:dyDescent="0.2">
      <c r="A15" t="s">
        <v>186</v>
      </c>
      <c r="B15">
        <v>80</v>
      </c>
      <c r="C15">
        <v>100</v>
      </c>
      <c r="D15">
        <v>120</v>
      </c>
      <c r="E15" s="15">
        <f ca="1">NPV_Total*(B15/C15)</f>
        <v>1279150.2315021493</v>
      </c>
      <c r="F15" s="15">
        <f ca="1">NPV_Total*(D15/C15)</f>
        <v>1918725.3472532234</v>
      </c>
      <c r="G15" s="15">
        <f ca="1">ABS(F15-E15)</f>
        <v>639575.11575107416</v>
      </c>
    </row>
    <row r="16" spans="1:7" x14ac:dyDescent="0.2">
      <c r="A16" t="s">
        <v>720</v>
      </c>
      <c r="B16">
        <v>0.5</v>
      </c>
      <c r="C16">
        <v>1</v>
      </c>
      <c r="D16">
        <v>2</v>
      </c>
      <c r="E16" s="15">
        <f ca="1">NPV_Total*(B16/C16)</f>
        <v>799468.89468884317</v>
      </c>
      <c r="F16" s="15">
        <f ca="1">NPV_Total*(D16/C16)</f>
        <v>3197875.5787553727</v>
      </c>
      <c r="G16" s="15">
        <f ca="1">ABS(F16-E16)</f>
        <v>2398406.6840665294</v>
      </c>
    </row>
    <row r="19" spans="1:1" ht="19" x14ac:dyDescent="0.25">
      <c r="A19" s="4" t="s">
        <v>721</v>
      </c>
    </row>
    <row r="20" spans="1:1" x14ac:dyDescent="0.2">
      <c r="A20" t="s">
        <v>722</v>
      </c>
    </row>
    <row r="21" spans="1:1" x14ac:dyDescent="0.2">
      <c r="A21" t="s">
        <v>723</v>
      </c>
    </row>
    <row r="22" spans="1:1" x14ac:dyDescent="0.2">
      <c r="A22" t="s">
        <v>724</v>
      </c>
    </row>
    <row r="24" spans="1:1" ht="19" x14ac:dyDescent="0.25">
      <c r="A24" s="4" t="s">
        <v>725</v>
      </c>
    </row>
    <row r="25" spans="1:1" x14ac:dyDescent="0.2">
      <c r="A25" t="s">
        <v>726</v>
      </c>
    </row>
    <row r="26" spans="1:1" x14ac:dyDescent="0.2">
      <c r="A26" t="s">
        <v>727</v>
      </c>
    </row>
    <row r="27" spans="1:1" x14ac:dyDescent="0.2">
      <c r="A27" t="s">
        <v>728</v>
      </c>
    </row>
  </sheetData>
  <mergeCells count="7">
    <mergeCell ref="B11:G11"/>
    <mergeCell ref="B10:G10"/>
    <mergeCell ref="A3:G3"/>
    <mergeCell ref="B9:G9"/>
    <mergeCell ref="A4:G4"/>
    <mergeCell ref="B8:G8"/>
    <mergeCell ref="B7:G7"/>
  </mergeCells>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70AD47"/>
  </sheetPr>
  <dimension ref="A1:D68"/>
  <sheetViews>
    <sheetView workbookViewId="0"/>
  </sheetViews>
  <sheetFormatPr baseColWidth="10" defaultColWidth="8.83203125" defaultRowHeight="15" x14ac:dyDescent="0.2"/>
  <cols>
    <col min="1" max="1" width="30" customWidth="1"/>
    <col min="2" max="2" width="18" customWidth="1"/>
    <col min="3" max="3" width="16" customWidth="1"/>
    <col min="4" max="4" width="18" customWidth="1"/>
  </cols>
  <sheetData>
    <row r="1" spans="1:4" ht="21" x14ac:dyDescent="0.25">
      <c r="A1" s="5" t="s">
        <v>729</v>
      </c>
    </row>
    <row r="3" spans="1:4" x14ac:dyDescent="0.2">
      <c r="A3" s="36" t="s">
        <v>730</v>
      </c>
      <c r="B3" s="34"/>
      <c r="C3" s="34"/>
      <c r="D3" s="35"/>
    </row>
    <row r="4" spans="1:4" ht="280.75" customHeight="1" x14ac:dyDescent="0.2">
      <c r="A4" s="33" t="s">
        <v>731</v>
      </c>
      <c r="B4" s="34"/>
      <c r="C4" s="34"/>
      <c r="D4" s="35"/>
    </row>
    <row r="6" spans="1:4" x14ac:dyDescent="0.2">
      <c r="A6" s="6" t="s">
        <v>732</v>
      </c>
    </row>
    <row r="7" spans="1:4" ht="31.25" customHeight="1" x14ac:dyDescent="0.2">
      <c r="A7" s="7" t="s">
        <v>46</v>
      </c>
      <c r="B7" s="31" t="s">
        <v>733</v>
      </c>
      <c r="C7" s="32"/>
      <c r="D7" s="32"/>
    </row>
    <row r="8" spans="1:4" ht="31.25" customHeight="1" x14ac:dyDescent="0.2">
      <c r="A8" s="7" t="s">
        <v>48</v>
      </c>
      <c r="B8" s="31" t="s">
        <v>734</v>
      </c>
      <c r="C8" s="32"/>
      <c r="D8" s="32"/>
    </row>
    <row r="9" spans="1:4" ht="124.75" customHeight="1" x14ac:dyDescent="0.2">
      <c r="A9" s="7" t="s">
        <v>50</v>
      </c>
      <c r="B9" s="31" t="s">
        <v>735</v>
      </c>
      <c r="C9" s="32"/>
      <c r="D9" s="32"/>
    </row>
    <row r="10" spans="1:4" ht="31.25" customHeight="1" x14ac:dyDescent="0.2">
      <c r="A10" s="7" t="s">
        <v>52</v>
      </c>
      <c r="B10" s="31" t="s">
        <v>736</v>
      </c>
      <c r="C10" s="32"/>
      <c r="D10" s="32"/>
    </row>
    <row r="11" spans="1:4" ht="15.5" customHeight="1" x14ac:dyDescent="0.2">
      <c r="A11" s="7" t="s">
        <v>54</v>
      </c>
      <c r="B11" s="31" t="s">
        <v>737</v>
      </c>
      <c r="C11" s="32"/>
      <c r="D11" s="32"/>
    </row>
    <row r="12" spans="1:4" x14ac:dyDescent="0.2">
      <c r="A12" s="8" t="s">
        <v>491</v>
      </c>
      <c r="B12" s="8" t="s">
        <v>57</v>
      </c>
    </row>
    <row r="13" spans="1:4" x14ac:dyDescent="0.2">
      <c r="A13" t="s">
        <v>738</v>
      </c>
      <c r="B13" t="str">
        <f>Testing_Option</f>
        <v>Daily_Biosensor</v>
      </c>
    </row>
    <row r="14" spans="1:4" x14ac:dyDescent="0.2">
      <c r="A14" t="s">
        <v>739</v>
      </c>
      <c r="B14" s="15">
        <f ca="1">NPV_Total</f>
        <v>1598937.7893776863</v>
      </c>
    </row>
    <row r="15" spans="1:4" x14ac:dyDescent="0.2">
      <c r="A15" t="s">
        <v>740</v>
      </c>
      <c r="B15" s="15">
        <f>MC_P10</f>
        <v>968948.13170551113</v>
      </c>
    </row>
    <row r="16" spans="1:4" x14ac:dyDescent="0.2">
      <c r="A16" t="s">
        <v>741</v>
      </c>
      <c r="B16" s="15">
        <f>MC_P50</f>
        <v>1298943.2714024275</v>
      </c>
    </row>
    <row r="17" spans="1:4" x14ac:dyDescent="0.2">
      <c r="A17" t="s">
        <v>742</v>
      </c>
      <c r="B17" s="15">
        <f>MC_P90</f>
        <v>1646048.9356016584</v>
      </c>
    </row>
    <row r="18" spans="1:4" x14ac:dyDescent="0.2">
      <c r="A18" t="s">
        <v>743</v>
      </c>
      <c r="B18" s="25">
        <f>MC_Prob_Positive</f>
        <v>1</v>
      </c>
    </row>
    <row r="19" spans="1:4" x14ac:dyDescent="0.2">
      <c r="A19" t="s">
        <v>744</v>
      </c>
      <c r="B19" s="15" t="e">
        <f>IF(ComplianceGate=1,"PASS","FAIL")</f>
        <v>#NAME?</v>
      </c>
    </row>
    <row r="20" spans="1:4" x14ac:dyDescent="0.2">
      <c r="A20" t="s">
        <v>745</v>
      </c>
      <c r="B20" s="15">
        <f>Testing_Cost</f>
        <v>10000</v>
      </c>
    </row>
    <row r="21" spans="1:4" x14ac:dyDescent="0.2">
      <c r="A21" t="s">
        <v>746</v>
      </c>
      <c r="B21" s="15">
        <f ca="1">Year1_Gross_Value</f>
        <v>225070.61580622345</v>
      </c>
    </row>
    <row r="22" spans="1:4" x14ac:dyDescent="0.2">
      <c r="A22" t="s">
        <v>747</v>
      </c>
      <c r="B22" s="15">
        <f ca="1">Year1_Net_Value</f>
        <v>215070.61580622345</v>
      </c>
    </row>
    <row r="24" spans="1:4" x14ac:dyDescent="0.2">
      <c r="A24" s="6" t="s">
        <v>748</v>
      </c>
    </row>
    <row r="25" spans="1:4" ht="31.25" customHeight="1" x14ac:dyDescent="0.2">
      <c r="A25" s="7" t="s">
        <v>46</v>
      </c>
      <c r="B25" s="31" t="s">
        <v>749</v>
      </c>
      <c r="C25" s="32"/>
      <c r="D25" s="32"/>
    </row>
    <row r="26" spans="1:4" ht="31.25" customHeight="1" x14ac:dyDescent="0.2">
      <c r="A26" s="7" t="s">
        <v>48</v>
      </c>
      <c r="B26" s="31" t="s">
        <v>750</v>
      </c>
      <c r="C26" s="32"/>
      <c r="D26" s="32"/>
    </row>
    <row r="27" spans="1:4" ht="124.75" customHeight="1" x14ac:dyDescent="0.2">
      <c r="A27" s="7" t="s">
        <v>50</v>
      </c>
      <c r="B27" s="31" t="s">
        <v>751</v>
      </c>
      <c r="C27" s="32"/>
      <c r="D27" s="32"/>
    </row>
    <row r="28" spans="1:4" ht="31.25" customHeight="1" x14ac:dyDescent="0.2">
      <c r="A28" s="7" t="s">
        <v>52</v>
      </c>
      <c r="B28" s="31" t="s">
        <v>752</v>
      </c>
      <c r="C28" s="32"/>
      <c r="D28" s="32"/>
    </row>
    <row r="29" spans="1:4" ht="15.5" customHeight="1" x14ac:dyDescent="0.2">
      <c r="A29" s="7" t="s">
        <v>54</v>
      </c>
      <c r="B29" s="31" t="s">
        <v>753</v>
      </c>
      <c r="C29" s="32"/>
      <c r="D29" s="32"/>
    </row>
    <row r="30" spans="1:4" x14ac:dyDescent="0.2">
      <c r="A30" s="8" t="s">
        <v>93</v>
      </c>
      <c r="B30" s="8" t="s">
        <v>592</v>
      </c>
      <c r="C30" s="8" t="s">
        <v>541</v>
      </c>
    </row>
    <row r="31" spans="1:4" x14ac:dyDescent="0.2">
      <c r="A31" t="s">
        <v>97</v>
      </c>
      <c r="B31" s="15">
        <f ca="1">S1_Value</f>
        <v>132906.80067481115</v>
      </c>
      <c r="C31" t="str">
        <f>INDEX(Gate_S1,MATCH(Testing_Option,TestOpt_Option,0))</f>
        <v>ENABLED</v>
      </c>
    </row>
    <row r="32" spans="1:4" x14ac:dyDescent="0.2">
      <c r="A32" t="s">
        <v>101</v>
      </c>
      <c r="B32" s="15">
        <f ca="1">S2_Value</f>
        <v>84481.313210813227</v>
      </c>
      <c r="C32" t="str">
        <f>INDEX(Gate_S2,MATCH(Testing_Option,TestOpt_Option,0))</f>
        <v>ENABLED</v>
      </c>
    </row>
    <row r="33" spans="1:4" x14ac:dyDescent="0.2">
      <c r="A33" t="s">
        <v>102</v>
      </c>
      <c r="B33" s="15">
        <f ca="1">S3_Value</f>
        <v>184013.70722652468</v>
      </c>
      <c r="C33" t="str">
        <f>INDEX(Gate_S3,MATCH(Testing_Option,TestOpt_Option,0))</f>
        <v>ENABLED</v>
      </c>
    </row>
    <row r="34" spans="1:4" x14ac:dyDescent="0.2">
      <c r="A34" t="s">
        <v>104</v>
      </c>
      <c r="B34" s="15">
        <f ca="1">S4_Value</f>
        <v>48739.410500297861</v>
      </c>
      <c r="C34" t="str">
        <f>INDEX(Gate_S4,MATCH(Testing_Option,TestOpt_Option,0))</f>
        <v>ENABLED</v>
      </c>
    </row>
    <row r="36" spans="1:4" x14ac:dyDescent="0.2">
      <c r="A36" s="6" t="s">
        <v>489</v>
      </c>
    </row>
    <row r="37" spans="1:4" ht="31.25" customHeight="1" x14ac:dyDescent="0.2">
      <c r="A37" s="7" t="s">
        <v>46</v>
      </c>
      <c r="B37" s="31" t="s">
        <v>754</v>
      </c>
      <c r="C37" s="32"/>
      <c r="D37" s="32"/>
    </row>
    <row r="38" spans="1:4" ht="31.25" customHeight="1" x14ac:dyDescent="0.2">
      <c r="A38" s="7" t="s">
        <v>48</v>
      </c>
      <c r="B38" s="31" t="s">
        <v>755</v>
      </c>
      <c r="C38" s="32"/>
      <c r="D38" s="32"/>
    </row>
    <row r="39" spans="1:4" ht="124.75" customHeight="1" x14ac:dyDescent="0.2">
      <c r="A39" s="7" t="s">
        <v>50</v>
      </c>
      <c r="B39" s="31" t="s">
        <v>756</v>
      </c>
      <c r="C39" s="32"/>
      <c r="D39" s="32"/>
    </row>
    <row r="40" spans="1:4" ht="15.5" customHeight="1" x14ac:dyDescent="0.2">
      <c r="A40" s="7" t="s">
        <v>52</v>
      </c>
      <c r="B40" s="31" t="s">
        <v>757</v>
      </c>
      <c r="C40" s="32"/>
      <c r="D40" s="32"/>
    </row>
    <row r="41" spans="1:4" ht="15.5" customHeight="1" x14ac:dyDescent="0.2">
      <c r="A41" s="7" t="s">
        <v>54</v>
      </c>
      <c r="B41" s="31" t="s">
        <v>758</v>
      </c>
      <c r="C41" s="32"/>
      <c r="D41" s="32"/>
    </row>
    <row r="42" spans="1:4" x14ac:dyDescent="0.2">
      <c r="A42" s="8" t="s">
        <v>491</v>
      </c>
      <c r="B42" s="8" t="s">
        <v>57</v>
      </c>
      <c r="C42" s="8" t="s">
        <v>541</v>
      </c>
    </row>
    <row r="43" spans="1:4" x14ac:dyDescent="0.2">
      <c r="A43" t="s">
        <v>759</v>
      </c>
      <c r="B43" s="29">
        <f>Initial_NAFC</f>
        <v>63.1</v>
      </c>
      <c r="C43" t="str">
        <f>IF(Initial_NAFC&gt;Target_NAFC,"Above Target","At/Below Target")</f>
        <v>Above Target</v>
      </c>
    </row>
    <row r="44" spans="1:4" x14ac:dyDescent="0.2">
      <c r="A44" t="s">
        <v>760</v>
      </c>
      <c r="B44" s="29">
        <f>Target_NAFC</f>
        <v>50</v>
      </c>
      <c r="C44" t="s">
        <v>761</v>
      </c>
    </row>
    <row r="45" spans="1:4" x14ac:dyDescent="0.2">
      <c r="A45" t="s">
        <v>762</v>
      </c>
      <c r="B45" s="30">
        <f ca="1">Days_to_Compliance</f>
        <v>38.651213093822712</v>
      </c>
      <c r="C45" t="str">
        <f ca="1">Compliance_Status</f>
        <v>ACHIEVABLE</v>
      </c>
    </row>
    <row r="46" spans="1:4" x14ac:dyDescent="0.2">
      <c r="A46" t="s">
        <v>763</v>
      </c>
      <c r="B46" s="24">
        <f ca="1">Circulation_Cycles</f>
        <v>3</v>
      </c>
      <c r="C46" t="str">
        <f ca="1">IF(Circulation_Cycles&lt;=3,"Standard","Extended")</f>
        <v>Standard</v>
      </c>
    </row>
    <row r="47" spans="1:4" x14ac:dyDescent="0.2">
      <c r="A47" t="s">
        <v>764</v>
      </c>
      <c r="B47" s="25">
        <f>Treatment_Efficiency</f>
        <v>0.2076069730586371</v>
      </c>
      <c r="C47" t="str">
        <f>IF(Treatment_Efficiency&gt;0.2,"Good","Low")</f>
        <v>Good</v>
      </c>
    </row>
    <row r="48" spans="1:4" x14ac:dyDescent="0.2">
      <c r="A48" t="s">
        <v>765</v>
      </c>
      <c r="B48" s="30">
        <f>MC_Expected_Days</f>
        <v>36.356370188129041</v>
      </c>
      <c r="C48" t="str">
        <f>IF(MC_Expected_Days&lt;=Season_Length,"Achievable","Risk")</f>
        <v>Achievable</v>
      </c>
    </row>
    <row r="49" spans="1:4" x14ac:dyDescent="0.2">
      <c r="A49" t="s">
        <v>766</v>
      </c>
      <c r="B49" s="30">
        <f>MC_P90_Days</f>
        <v>45.49766429163342</v>
      </c>
      <c r="C49" t="str">
        <f>IF(MC_P90_Days&lt;=Season_Length,"Low Risk","High Risk")</f>
        <v>Low Risk</v>
      </c>
    </row>
    <row r="50" spans="1:4" x14ac:dyDescent="0.2">
      <c r="A50" t="s">
        <v>767</v>
      </c>
      <c r="B50" s="25">
        <f>MC_Prob_Achievable</f>
        <v>1</v>
      </c>
      <c r="C50" t="str">
        <f>IF(MC_Prob_Achievable&gt;=0.9,"High Confidence","Review Required")</f>
        <v>High Confidence</v>
      </c>
    </row>
    <row r="52" spans="1:4" x14ac:dyDescent="0.2">
      <c r="A52" s="6" t="s">
        <v>768</v>
      </c>
    </row>
    <row r="53" spans="1:4" ht="31.25" customHeight="1" x14ac:dyDescent="0.2">
      <c r="A53" s="7" t="s">
        <v>46</v>
      </c>
      <c r="B53" s="31" t="s">
        <v>769</v>
      </c>
      <c r="C53" s="32"/>
      <c r="D53" s="32"/>
    </row>
    <row r="54" spans="1:4" ht="31.25" customHeight="1" x14ac:dyDescent="0.2">
      <c r="A54" s="7" t="s">
        <v>48</v>
      </c>
      <c r="B54" s="31" t="s">
        <v>770</v>
      </c>
      <c r="C54" s="32"/>
      <c r="D54" s="32"/>
    </row>
    <row r="55" spans="1:4" ht="78" customHeight="1" x14ac:dyDescent="0.2">
      <c r="A55" s="7" t="s">
        <v>50</v>
      </c>
      <c r="B55" s="31" t="s">
        <v>771</v>
      </c>
      <c r="C55" s="32"/>
      <c r="D55" s="32"/>
    </row>
    <row r="56" spans="1:4" ht="31.25" customHeight="1" x14ac:dyDescent="0.2">
      <c r="A56" s="7" t="s">
        <v>52</v>
      </c>
      <c r="B56" s="31" t="s">
        <v>772</v>
      </c>
      <c r="C56" s="32"/>
      <c r="D56" s="32"/>
    </row>
    <row r="57" spans="1:4" ht="15.5" customHeight="1" x14ac:dyDescent="0.2">
      <c r="A57" s="7" t="s">
        <v>54</v>
      </c>
      <c r="B57" s="31" t="s">
        <v>773</v>
      </c>
      <c r="C57" s="32"/>
      <c r="D57" s="32"/>
    </row>
    <row r="58" spans="1:4" x14ac:dyDescent="0.2">
      <c r="A58" s="8" t="s">
        <v>491</v>
      </c>
      <c r="B58" s="8" t="s">
        <v>312</v>
      </c>
      <c r="C58" s="8" t="s">
        <v>313</v>
      </c>
      <c r="D58" s="8" t="s">
        <v>61</v>
      </c>
    </row>
    <row r="59" spans="1:4" x14ac:dyDescent="0.2">
      <c r="A59" t="s">
        <v>774</v>
      </c>
      <c r="B59" t="s">
        <v>99</v>
      </c>
      <c r="C59" t="s">
        <v>99</v>
      </c>
      <c r="D59" t="s">
        <v>100</v>
      </c>
    </row>
    <row r="60" spans="1:4" x14ac:dyDescent="0.2">
      <c r="A60" t="s">
        <v>775</v>
      </c>
      <c r="B60" t="s">
        <v>99</v>
      </c>
      <c r="C60" t="s">
        <v>99</v>
      </c>
      <c r="D60" t="s">
        <v>100</v>
      </c>
    </row>
    <row r="61" spans="1:4" x14ac:dyDescent="0.2">
      <c r="A61" t="s">
        <v>776</v>
      </c>
      <c r="B61" t="s">
        <v>99</v>
      </c>
      <c r="C61" t="s">
        <v>100</v>
      </c>
      <c r="D61" t="s">
        <v>100</v>
      </c>
    </row>
    <row r="62" spans="1:4" x14ac:dyDescent="0.2">
      <c r="A62" t="s">
        <v>777</v>
      </c>
      <c r="B62" t="s">
        <v>99</v>
      </c>
      <c r="C62" t="s">
        <v>99</v>
      </c>
      <c r="D62" t="s">
        <v>100</v>
      </c>
    </row>
    <row r="63" spans="1:4" x14ac:dyDescent="0.2">
      <c r="A63" t="s">
        <v>778</v>
      </c>
      <c r="B63" t="s">
        <v>779</v>
      </c>
      <c r="C63" t="s">
        <v>780</v>
      </c>
      <c r="D63" t="s">
        <v>781</v>
      </c>
    </row>
    <row r="64" spans="1:4" x14ac:dyDescent="0.2">
      <c r="A64" t="s">
        <v>782</v>
      </c>
      <c r="B64" t="s">
        <v>783</v>
      </c>
      <c r="C64" t="s">
        <v>784</v>
      </c>
      <c r="D64" t="s">
        <v>785</v>
      </c>
    </row>
    <row r="66" spans="1:2" ht="19" x14ac:dyDescent="0.25">
      <c r="A66" s="4" t="s">
        <v>786</v>
      </c>
    </row>
    <row r="67" spans="1:2" x14ac:dyDescent="0.2">
      <c r="A67" t="s">
        <v>787</v>
      </c>
      <c r="B67" t="str">
        <f ca="1">IF(COUNTIF('21_Checks'!D:D,"FAIL")=0,"HEALTHY","REVIEW REQUIRED")</f>
        <v>HEALTHY</v>
      </c>
    </row>
    <row r="68" spans="1:2" x14ac:dyDescent="0.2">
      <c r="A68" t="s">
        <v>788</v>
      </c>
      <c r="B68">
        <f ca="1">COUNTIF('21_Checks'!D:D,"FAIL")</f>
        <v>0</v>
      </c>
    </row>
  </sheetData>
  <mergeCells count="22">
    <mergeCell ref="B25:D25"/>
    <mergeCell ref="B54:D54"/>
    <mergeCell ref="A3:D3"/>
    <mergeCell ref="B27:D27"/>
    <mergeCell ref="B56:D56"/>
    <mergeCell ref="B39:D39"/>
    <mergeCell ref="B11:D11"/>
    <mergeCell ref="A4:D4"/>
    <mergeCell ref="B8:D8"/>
    <mergeCell ref="B57:D57"/>
    <mergeCell ref="B53:D53"/>
    <mergeCell ref="B29:D29"/>
    <mergeCell ref="B38:D38"/>
    <mergeCell ref="B10:D10"/>
    <mergeCell ref="B28:D28"/>
    <mergeCell ref="B37:D37"/>
    <mergeCell ref="B40:D40"/>
    <mergeCell ref="B9:D9"/>
    <mergeCell ref="B55:D55"/>
    <mergeCell ref="B41:D41"/>
    <mergeCell ref="B26:D26"/>
    <mergeCell ref="B7:D7"/>
  </mergeCells>
  <pageMargins left="0.75" right="0.75" top="1" bottom="1" header="0.5" footer="0.5"/>
  <tableParts count="4">
    <tablePart r:id="rId1"/>
    <tablePart r:id="rId2"/>
    <tablePart r:id="rId3"/>
    <tablePart r:id="rId4"/>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0000"/>
  </sheetPr>
  <dimension ref="A1:D35"/>
  <sheetViews>
    <sheetView topLeftCell="A8" workbookViewId="0"/>
  </sheetViews>
  <sheetFormatPr baseColWidth="10" defaultColWidth="8.83203125" defaultRowHeight="15" x14ac:dyDescent="0.2"/>
  <cols>
    <col min="1" max="2" width="12" customWidth="1"/>
    <col min="3" max="3" width="40" customWidth="1"/>
    <col min="4" max="4" width="12" customWidth="1"/>
  </cols>
  <sheetData>
    <row r="1" spans="1:4" ht="21" x14ac:dyDescent="0.25">
      <c r="A1" s="5" t="s">
        <v>789</v>
      </c>
    </row>
    <row r="3" spans="1:4" x14ac:dyDescent="0.2">
      <c r="A3" s="36" t="s">
        <v>790</v>
      </c>
      <c r="B3" s="34"/>
      <c r="C3" s="34"/>
      <c r="D3" s="35"/>
    </row>
    <row r="4" spans="1:4" ht="343.25" customHeight="1" x14ac:dyDescent="0.2">
      <c r="A4" s="33" t="s">
        <v>791</v>
      </c>
      <c r="B4" s="34"/>
      <c r="C4" s="34"/>
      <c r="D4" s="35"/>
    </row>
    <row r="6" spans="1:4" x14ac:dyDescent="0.2">
      <c r="A6" s="6" t="s">
        <v>789</v>
      </c>
    </row>
    <row r="7" spans="1:4" ht="31.25" customHeight="1" x14ac:dyDescent="0.2">
      <c r="A7" s="7" t="s">
        <v>46</v>
      </c>
      <c r="B7" s="31" t="s">
        <v>792</v>
      </c>
      <c r="C7" s="32"/>
      <c r="D7" s="32"/>
    </row>
    <row r="8" spans="1:4" ht="31.25" customHeight="1" x14ac:dyDescent="0.2">
      <c r="A8" s="7" t="s">
        <v>48</v>
      </c>
      <c r="B8" s="31" t="s">
        <v>793</v>
      </c>
      <c r="C8" s="32"/>
      <c r="D8" s="32"/>
    </row>
    <row r="9" spans="1:4" ht="78" customHeight="1" x14ac:dyDescent="0.2">
      <c r="A9" s="7" t="s">
        <v>50</v>
      </c>
      <c r="B9" s="31" t="s">
        <v>794</v>
      </c>
      <c r="C9" s="32"/>
      <c r="D9" s="32"/>
    </row>
    <row r="10" spans="1:4" ht="31.25" customHeight="1" x14ac:dyDescent="0.2">
      <c r="A10" s="7" t="s">
        <v>52</v>
      </c>
      <c r="B10" s="31" t="s">
        <v>795</v>
      </c>
      <c r="C10" s="32"/>
      <c r="D10" s="32"/>
    </row>
    <row r="11" spans="1:4" ht="15.5" customHeight="1" x14ac:dyDescent="0.2">
      <c r="A11" s="7" t="s">
        <v>54</v>
      </c>
      <c r="B11" s="31" t="s">
        <v>796</v>
      </c>
      <c r="C11" s="32"/>
      <c r="D11" s="32"/>
    </row>
    <row r="12" spans="1:4" x14ac:dyDescent="0.2">
      <c r="A12" s="8" t="s">
        <v>797</v>
      </c>
      <c r="B12" s="8" t="s">
        <v>798</v>
      </c>
      <c r="C12" s="8" t="s">
        <v>59</v>
      </c>
      <c r="D12" s="8" t="s">
        <v>541</v>
      </c>
    </row>
    <row r="13" spans="1:4" x14ac:dyDescent="0.2">
      <c r="A13" t="s">
        <v>799</v>
      </c>
      <c r="B13" t="s">
        <v>800</v>
      </c>
      <c r="C13" t="s">
        <v>801</v>
      </c>
      <c r="D13" t="str">
        <f>IF(AND(Discount_Rate&gt;=0,Discount_Rate&lt;=0.15),"PASS","FAIL")</f>
        <v>PASS</v>
      </c>
    </row>
    <row r="14" spans="1:4" x14ac:dyDescent="0.2">
      <c r="A14" t="s">
        <v>802</v>
      </c>
      <c r="B14" t="s">
        <v>800</v>
      </c>
      <c r="C14" t="s">
        <v>803</v>
      </c>
      <c r="D14" t="str">
        <f>IF(AND(Season_Length&gt;=60,Season_Length&lt;=150),"PASS","FAIL")</f>
        <v>PASS</v>
      </c>
    </row>
    <row r="15" spans="1:4" x14ac:dyDescent="0.2">
      <c r="A15" t="s">
        <v>804</v>
      </c>
      <c r="B15" t="s">
        <v>800</v>
      </c>
      <c r="C15" t="s">
        <v>805</v>
      </c>
      <c r="D15" t="str">
        <f>IF(AND(Projection_Years&gt;=1,Projection_Years&lt;=10),"PASS","FAIL")</f>
        <v>PASS</v>
      </c>
    </row>
    <row r="16" spans="1:4" x14ac:dyDescent="0.2">
      <c r="A16" t="s">
        <v>806</v>
      </c>
      <c r="B16" t="s">
        <v>800</v>
      </c>
      <c r="C16" t="s">
        <v>807</v>
      </c>
      <c r="D16" t="str">
        <f>IF(Value_Per_M3&gt;0,"PASS","FAIL")</f>
        <v>PASS</v>
      </c>
    </row>
    <row r="17" spans="1:4" x14ac:dyDescent="0.2">
      <c r="A17" t="s">
        <v>808</v>
      </c>
      <c r="B17" t="s">
        <v>809</v>
      </c>
      <c r="C17" t="s">
        <v>810</v>
      </c>
      <c r="D17" t="str">
        <f>IF(COUNTIF(List_TestingOptions,Testing_Option)=1,"PASS","FAIL")</f>
        <v>PASS</v>
      </c>
    </row>
    <row r="18" spans="1:4" x14ac:dyDescent="0.2">
      <c r="A18" t="s">
        <v>811</v>
      </c>
      <c r="B18" t="s">
        <v>809</v>
      </c>
      <c r="C18" t="s">
        <v>812</v>
      </c>
      <c r="D18" t="str">
        <f>IF(COUNTIF(List_Scenarios,Scenario_Select)=1,"PASS","FAIL")</f>
        <v>PASS</v>
      </c>
    </row>
    <row r="19" spans="1:4" x14ac:dyDescent="0.2">
      <c r="A19" t="s">
        <v>813</v>
      </c>
      <c r="B19" t="s">
        <v>814</v>
      </c>
      <c r="C19" t="s">
        <v>815</v>
      </c>
      <c r="D19" t="str">
        <f ca="1">IF(AND(NPV_Total&gt;-1000000,NPV_Total&lt;10000000),"PASS","FAIL")</f>
        <v>PASS</v>
      </c>
    </row>
    <row r="20" spans="1:4" x14ac:dyDescent="0.2">
      <c r="A20" t="s">
        <v>816</v>
      </c>
      <c r="B20" t="s">
        <v>814</v>
      </c>
      <c r="C20" t="s">
        <v>817</v>
      </c>
      <c r="D20" t="str">
        <f>IF(Testing_Cost&gt;0,"PASS","FAIL")</f>
        <v>PASS</v>
      </c>
    </row>
    <row r="21" spans="1:4" x14ac:dyDescent="0.2">
      <c r="A21" t="s">
        <v>818</v>
      </c>
      <c r="B21" t="s">
        <v>814</v>
      </c>
      <c r="C21" t="s">
        <v>819</v>
      </c>
      <c r="D21" t="str">
        <f ca="1">IF(Gross_Value&gt;=0,"PASS","FAIL")</f>
        <v>PASS</v>
      </c>
    </row>
    <row r="22" spans="1:4" x14ac:dyDescent="0.2">
      <c r="A22" t="s">
        <v>820</v>
      </c>
      <c r="B22" t="s">
        <v>821</v>
      </c>
      <c r="C22" t="s">
        <v>822</v>
      </c>
      <c r="D22" t="str">
        <f>IF(ISERROR(Testing_Option),"FAIL","PASS")</f>
        <v>PASS</v>
      </c>
    </row>
    <row r="23" spans="1:4" x14ac:dyDescent="0.2">
      <c r="A23" t="s">
        <v>823</v>
      </c>
      <c r="B23" t="s">
        <v>800</v>
      </c>
      <c r="C23" t="s">
        <v>824</v>
      </c>
      <c r="D23" t="str">
        <f>IF(AND(Initial_NAFC&gt;=40,Initial_NAFC&lt;=100),"PASS","FAIL")</f>
        <v>PASS</v>
      </c>
    </row>
    <row r="24" spans="1:4" x14ac:dyDescent="0.2">
      <c r="A24" t="s">
        <v>825</v>
      </c>
      <c r="B24" t="s">
        <v>809</v>
      </c>
      <c r="C24" t="s">
        <v>826</v>
      </c>
      <c r="D24" t="str">
        <f>IF(Target_NAFC&lt;Initial_NAFC,"PASS","FAIL")</f>
        <v>PASS</v>
      </c>
    </row>
    <row r="25" spans="1:4" x14ac:dyDescent="0.2">
      <c r="A25" t="s">
        <v>827</v>
      </c>
      <c r="B25" t="s">
        <v>814</v>
      </c>
      <c r="C25" t="s">
        <v>828</v>
      </c>
      <c r="D25" t="str">
        <f ca="1">IF(Days_to_Compliance&lt;=Season_Length,"PASS","FAIL")</f>
        <v>PASS</v>
      </c>
    </row>
    <row r="26" spans="1:4" x14ac:dyDescent="0.2">
      <c r="A26" t="s">
        <v>829</v>
      </c>
      <c r="B26" t="s">
        <v>800</v>
      </c>
      <c r="C26" t="s">
        <v>830</v>
      </c>
      <c r="D26" t="str">
        <f ca="1">IF(AND(Eff_Rapid_Rate&gt;0,Eff_Slow_Rate&gt;0),"PASS","FAIL")</f>
        <v>PASS</v>
      </c>
    </row>
    <row r="27" spans="1:4" x14ac:dyDescent="0.2">
      <c r="A27" t="s">
        <v>831</v>
      </c>
      <c r="B27" t="s">
        <v>832</v>
      </c>
      <c r="C27" t="s">
        <v>833</v>
      </c>
      <c r="D27" t="e">
        <f>IF(ComplianceGate=1,"PASS","FAIL")</f>
        <v>#NAME?</v>
      </c>
    </row>
    <row r="28" spans="1:4" x14ac:dyDescent="0.2">
      <c r="A28" t="s">
        <v>834</v>
      </c>
      <c r="B28" t="s">
        <v>814</v>
      </c>
      <c r="C28" t="s">
        <v>835</v>
      </c>
      <c r="D28" t="e">
        <f ca="1">IF(AdjustedValue&gt;=0,"PASS","FAIL")</f>
        <v>#NAME?</v>
      </c>
    </row>
    <row r="31" spans="1:4" ht="19" x14ac:dyDescent="0.25">
      <c r="A31" s="4" t="s">
        <v>213</v>
      </c>
    </row>
    <row r="32" spans="1:4" x14ac:dyDescent="0.2">
      <c r="A32" t="s">
        <v>836</v>
      </c>
      <c r="B32">
        <f>COUNTA(tbl_Checks[Check_ID])</f>
        <v>16</v>
      </c>
    </row>
    <row r="33" spans="1:2" x14ac:dyDescent="0.2">
      <c r="A33" t="s">
        <v>837</v>
      </c>
      <c r="B33">
        <f ca="1">COUNTIF(tbl_Checks[Status],"PASS")</f>
        <v>14</v>
      </c>
    </row>
    <row r="34" spans="1:2" x14ac:dyDescent="0.2">
      <c r="A34" t="s">
        <v>838</v>
      </c>
      <c r="B34">
        <f ca="1">COUNTIF(tbl_Checks[Status],"FAIL")</f>
        <v>0</v>
      </c>
    </row>
    <row r="35" spans="1:2" x14ac:dyDescent="0.2">
      <c r="A35" t="s">
        <v>839</v>
      </c>
      <c r="B35" t="str">
        <f ca="1">IF(COUNTIF(tbl_Checks[Status],"FAIL")=0,"HEALTHY","REVIEW REQUIRED")</f>
        <v>HEALTHY</v>
      </c>
    </row>
  </sheetData>
  <mergeCells count="7">
    <mergeCell ref="B10:D10"/>
    <mergeCell ref="B11:D11"/>
    <mergeCell ref="A4:D4"/>
    <mergeCell ref="B8:D8"/>
    <mergeCell ref="A3:D3"/>
    <mergeCell ref="B9:D9"/>
    <mergeCell ref="B7:D7"/>
  </mergeCell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22</vt:i4>
      </vt:variant>
      <vt:variant>
        <vt:lpstr>Named Ranges</vt:lpstr>
      </vt:variant>
      <vt:variant>
        <vt:i4>159</vt:i4>
      </vt:variant>
    </vt:vector>
  </HeadingPairs>
  <TitlesOfParts>
    <vt:vector size="181" baseType="lpstr">
      <vt:lpstr>0_Cover</vt:lpstr>
      <vt:lpstr>1_TOC</vt:lpstr>
      <vt:lpstr>3_Instructions</vt:lpstr>
      <vt:lpstr>2_InputMap</vt:lpstr>
      <vt:lpstr>4_Assumptions</vt:lpstr>
      <vt:lpstr>5_EnvironmentalDrivers</vt:lpstr>
      <vt:lpstr>6_Scenarios</vt:lpstr>
      <vt:lpstr>7_ServiceModels</vt:lpstr>
      <vt:lpstr>8_Calc_Timeline</vt:lpstr>
      <vt:lpstr>9_Calc_Kinetics</vt:lpstr>
      <vt:lpstr>10_Calc_Stochastic</vt:lpstr>
      <vt:lpstr>11_Calc_Compliance</vt:lpstr>
      <vt:lpstr>12_Calc_Value</vt:lpstr>
      <vt:lpstr>13_Calc_Costs</vt:lpstr>
      <vt:lpstr>14_Calc_Sim</vt:lpstr>
      <vt:lpstr>15_PL_Monthly</vt:lpstr>
      <vt:lpstr>16_PL_Annual</vt:lpstr>
      <vt:lpstr>17_CashFlow</vt:lpstr>
      <vt:lpstr>18_UnitEconomics</vt:lpstr>
      <vt:lpstr>19_Sensitivity</vt:lpstr>
      <vt:lpstr>20_Dashboard</vt:lpstr>
      <vt:lpstr>21_Checks</vt:lpstr>
      <vt:lpstr>AdjustedValue</vt:lpstr>
      <vt:lpstr>Annual_Throughput</vt:lpstr>
      <vt:lpstr>AnnualThroughput_M3</vt:lpstr>
      <vt:lpstr>Base_Year</vt:lpstr>
      <vt:lpstr>Beta_Efficiency_Gain_Alpha</vt:lpstr>
      <vt:lpstr>Beta_Efficiency_Gain_Beta</vt:lpstr>
      <vt:lpstr>Beta_Efficiency_Gain_Max</vt:lpstr>
      <vt:lpstr>Beta_Efficiency_Gain_Min</vt:lpstr>
      <vt:lpstr>Bioavail_Modifier</vt:lpstr>
      <vt:lpstr>Circulation_Cycles</vt:lpstr>
      <vt:lpstr>Compliance_Status</vt:lpstr>
      <vt:lpstr>ComplianceGate</vt:lpstr>
      <vt:lpstr>Day_80_Survival</vt:lpstr>
      <vt:lpstr>Day_LC50</vt:lpstr>
      <vt:lpstr>Day_Nontoxic</vt:lpstr>
      <vt:lpstr>Days_to_Compliance</vt:lpstr>
      <vt:lpstr>Discount_Rate</vt:lpstr>
      <vt:lpstr>DO_Modifier</vt:lpstr>
      <vt:lpstr>DowntimeCostPerDay</vt:lpstr>
      <vt:lpstr>Eff_Rapid_Rate</vt:lpstr>
      <vt:lpstr>Eff_Slow_Rate</vt:lpstr>
      <vt:lpstr>Effective_Rate</vt:lpstr>
      <vt:lpstr>Env_Bioavail_Index_Aug</vt:lpstr>
      <vt:lpstr>Env_Bioavail_Index_Jul</vt:lpstr>
      <vt:lpstr>Env_Bioavail_Index_Jun</vt:lpstr>
      <vt:lpstr>Env_Bioavail_Index_May</vt:lpstr>
      <vt:lpstr>Env_Bioavail_Index_Sep</vt:lpstr>
      <vt:lpstr>Env_DO_Typical_Aug</vt:lpstr>
      <vt:lpstr>Env_DO_Typical_Jul</vt:lpstr>
      <vt:lpstr>Env_DO_Typical_Jun</vt:lpstr>
      <vt:lpstr>Env_DO_Typical_May</vt:lpstr>
      <vt:lpstr>Env_DO_Typical_Sep</vt:lpstr>
      <vt:lpstr>Env_Nutrient_Index_Aug</vt:lpstr>
      <vt:lpstr>Env_Nutrient_Index_Jul</vt:lpstr>
      <vt:lpstr>Env_Nutrient_Index_Jun</vt:lpstr>
      <vt:lpstr>Env_Nutrient_Index_May</vt:lpstr>
      <vt:lpstr>Env_Nutrient_Index_Sep</vt:lpstr>
      <vt:lpstr>Env_Temp_Water_Aug</vt:lpstr>
      <vt:lpstr>Env_Temp_Water_Jul</vt:lpstr>
      <vt:lpstr>Env_Temp_Water_Jun</vt:lpstr>
      <vt:lpstr>Env_Temp_Water_May</vt:lpstr>
      <vt:lpstr>Env_Temp_Water_Sep</vt:lpstr>
      <vt:lpstr>Env_UV_Relative_Aug</vt:lpstr>
      <vt:lpstr>Env_UV_Relative_Jul</vt:lpstr>
      <vt:lpstr>Env_UV_Relative_Jun</vt:lpstr>
      <vt:lpstr>Env_UV_Relative_May</vt:lpstr>
      <vt:lpstr>Env_UV_Relative_Sep</vt:lpstr>
      <vt:lpstr>Gate_Chloride</vt:lpstr>
      <vt:lpstr>Gate_DO</vt:lpstr>
      <vt:lpstr>Gate_Foam</vt:lpstr>
      <vt:lpstr>Gate_NAFC</vt:lpstr>
      <vt:lpstr>Gate_Odor</vt:lpstr>
      <vt:lpstr>Gate_Oil_Sheen</vt:lpstr>
      <vt:lpstr>Gate_pH_High</vt:lpstr>
      <vt:lpstr>Gate_pH_Low</vt:lpstr>
      <vt:lpstr>Gate_S1</vt:lpstr>
      <vt:lpstr>Gate_S2</vt:lpstr>
      <vt:lpstr>Gate_S3</vt:lpstr>
      <vt:lpstr>Gate_S4</vt:lpstr>
      <vt:lpstr>Gate_SAR</vt:lpstr>
      <vt:lpstr>Gate_Sulfate</vt:lpstr>
      <vt:lpstr>Gate_Temperature</vt:lpstr>
      <vt:lpstr>Gate_Toxicity</vt:lpstr>
      <vt:lpstr>Gate_Turbidity</vt:lpstr>
      <vt:lpstr>Gross_Value</vt:lpstr>
      <vt:lpstr>Initial_NAFC</vt:lpstr>
      <vt:lpstr>Ionic_Chloride_Max</vt:lpstr>
      <vt:lpstr>Ionic_Chloride_Min</vt:lpstr>
      <vt:lpstr>Ionic_Chloride_Mode</vt:lpstr>
      <vt:lpstr>Ionic_Chloride_Threshold</vt:lpstr>
      <vt:lpstr>Ionic_DO_Compliance_Max</vt:lpstr>
      <vt:lpstr>Ionic_DO_Compliance_Min</vt:lpstr>
      <vt:lpstr>Ionic_DO_Compliance_Mode</vt:lpstr>
      <vt:lpstr>Ionic_DO_Compliance_Threshold</vt:lpstr>
      <vt:lpstr>Ionic_SAR_Max</vt:lpstr>
      <vt:lpstr>Ionic_SAR_Min</vt:lpstr>
      <vt:lpstr>Ionic_SAR_Mode</vt:lpstr>
      <vt:lpstr>Ionic_SAR_Threshold</vt:lpstr>
      <vt:lpstr>Ionic_Sulfate_Max</vt:lpstr>
      <vt:lpstr>Ionic_Sulfate_Min</vt:lpstr>
      <vt:lpstr>Ionic_Sulfate_Mode</vt:lpstr>
      <vt:lpstr>Ionic_Sulfate_Threshold</vt:lpstr>
      <vt:lpstr>LaborPerDay</vt:lpstr>
      <vt:lpstr>LearningCurve_Mult</vt:lpstr>
      <vt:lpstr>List_Scenarios</vt:lpstr>
      <vt:lpstr>List_TestingOptions</vt:lpstr>
      <vt:lpstr>MC_Anchor</vt:lpstr>
      <vt:lpstr>MC_Expected_Days</vt:lpstr>
      <vt:lpstr>MC_Expected_NPV</vt:lpstr>
      <vt:lpstr>MC_P10</vt:lpstr>
      <vt:lpstr>MC_P10_Days</vt:lpstr>
      <vt:lpstr>MC_P50</vt:lpstr>
      <vt:lpstr>MC_P50_Days</vt:lpstr>
      <vt:lpstr>MC_P90</vt:lpstr>
      <vt:lpstr>MC_P90_Days</vt:lpstr>
      <vt:lpstr>MC_Prob_Achievable</vt:lpstr>
      <vt:lpstr>MC_Prob_Positive</vt:lpstr>
      <vt:lpstr>MC_StdDev</vt:lpstr>
      <vt:lpstr>NAFC_After_Rapid</vt:lpstr>
      <vt:lpstr>NPV_Total</vt:lpstr>
      <vt:lpstr>Nutrient_Modifier</vt:lpstr>
      <vt:lpstr>Projection_Years</vt:lpstr>
      <vt:lpstr>Q10_Factor</vt:lpstr>
      <vt:lpstr>Rapid_Phase_Duration</vt:lpstr>
      <vt:lpstr>Rapid_Phase_Rate</vt:lpstr>
      <vt:lpstr>Recirculation_Cycle</vt:lpstr>
      <vt:lpstr>RegulatoryPenalty</vt:lpstr>
      <vt:lpstr>S1_Value</vt:lpstr>
      <vt:lpstr>S2_Value</vt:lpstr>
      <vt:lpstr>S3_Value</vt:lpstr>
      <vt:lpstr>S4_Value</vt:lpstr>
      <vt:lpstr>Scenario_BaseValues</vt:lpstr>
      <vt:lpstr>Scenario_Select</vt:lpstr>
      <vt:lpstr>Season_End_Day</vt:lpstr>
      <vt:lpstr>Season_End_Month</vt:lpstr>
      <vt:lpstr>Season_Length</vt:lpstr>
      <vt:lpstr>Season_Start_Day</vt:lpstr>
      <vt:lpstr>Season_Start_Month</vt:lpstr>
      <vt:lpstr>Slow_Phase_Rate</vt:lpstr>
      <vt:lpstr>Stoch_Efficiency</vt:lpstr>
      <vt:lpstr>Stoch_ExtValue</vt:lpstr>
      <vt:lpstr>Stoch_Interventions</vt:lpstr>
      <vt:lpstr>Stoch_SeasonExt</vt:lpstr>
      <vt:lpstr>Stoch_TreatmentRate</vt:lpstr>
      <vt:lpstr>System_Capacity</vt:lpstr>
      <vt:lpstr>Target_NAFC</vt:lpstr>
      <vt:lpstr>Testing_Cost</vt:lpstr>
      <vt:lpstr>Testing_Option</vt:lpstr>
      <vt:lpstr>TestOpt_Cost</vt:lpstr>
      <vt:lpstr>TestOpt_Interval</vt:lpstr>
      <vt:lpstr>TestOpt_Latency</vt:lpstr>
      <vt:lpstr>TestOpt_Method</vt:lpstr>
      <vt:lpstr>TestOpt_Option</vt:lpstr>
      <vt:lpstr>TestOpt_Points</vt:lpstr>
      <vt:lpstr>Timeline_DiscountFactor</vt:lpstr>
      <vt:lpstr>Timeline_LearningMult</vt:lpstr>
      <vt:lpstr>Treatment_Cells</vt:lpstr>
      <vt:lpstr>Treatment_Days</vt:lpstr>
      <vt:lpstr>Treatment_Efficiency</vt:lpstr>
      <vt:lpstr>TreatmentCells</vt:lpstr>
      <vt:lpstr>Tri_Extension_Value_Per_Day_Max</vt:lpstr>
      <vt:lpstr>Tri_Extension_Value_Per_Day_Min</vt:lpstr>
      <vt:lpstr>Tri_Extension_Value_Per_Day_Mode</vt:lpstr>
      <vt:lpstr>Tri_Interventions_Avoided_Max</vt:lpstr>
      <vt:lpstr>Tri_Interventions_Avoided_Min</vt:lpstr>
      <vt:lpstr>Tri_Interventions_Avoided_Mode</vt:lpstr>
      <vt:lpstr>Tri_Season_Extension_Days_Max</vt:lpstr>
      <vt:lpstr>Tri_Season_Extension_Days_Min</vt:lpstr>
      <vt:lpstr>Tri_Season_Extension_Days_Mode</vt:lpstr>
      <vt:lpstr>Tri_Treatment_Rate_Factor_Max</vt:lpstr>
      <vt:lpstr>Tri_Treatment_Rate_Factor_Min</vt:lpstr>
      <vt:lpstr>Tri_Treatment_Rate_Factor_Mode</vt:lpstr>
      <vt:lpstr>UV_Modifier</vt:lpstr>
      <vt:lpstr>Value_Per_M3</vt:lpstr>
      <vt:lpstr>ValuePer_M3</vt:lpstr>
      <vt:lpstr>Wetland_Area</vt:lpstr>
      <vt:lpstr>WetlandArea_Ha</vt:lpstr>
      <vt:lpstr>Year1_Gross_Value</vt:lpstr>
      <vt:lpstr>Year1_Net_Value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Greg Saunders</cp:lastModifiedBy>
  <dcterms:created xsi:type="dcterms:W3CDTF">2026-02-01T01:53:06Z</dcterms:created>
  <dcterms:modified xsi:type="dcterms:W3CDTF">2026-02-01T01:54:02Z</dcterms:modified>
</cp:coreProperties>
</file>