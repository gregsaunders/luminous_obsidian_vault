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reg/Luminous Dropbox/Obsidian/utils/financial_modeling/"/>
    </mc:Choice>
  </mc:AlternateContent>
  <xr:revisionPtr revIDLastSave="0" documentId="13_ncr:1_{EC77BE3E-5843-8648-8751-22AF92B8EE4F}" xr6:coauthVersionLast="47" xr6:coauthVersionMax="47" xr10:uidLastSave="{00000000-0000-0000-0000-000000000000}"/>
  <bookViews>
    <workbookView xWindow="0" yWindow="680" windowWidth="30240" windowHeight="18960" firstSheet="8" activeTab="11" xr2:uid="{00000000-000D-0000-FFFF-FFFF00000000}"/>
  </bookViews>
  <sheets>
    <sheet name="0_Cover" sheetId="1" r:id="rId1"/>
    <sheet name="1_TOC" sheetId="2" r:id="rId2"/>
    <sheet name="2_Instructions" sheetId="3" r:id="rId3"/>
    <sheet name="1.5_InputMap" sheetId="4" r:id="rId4"/>
    <sheet name="3_Assumptions" sheetId="5" r:id="rId5"/>
    <sheet name="4_Scenarios" sheetId="6" r:id="rId6"/>
    <sheet name="5_ServiceModels" sheetId="7" r:id="rId7"/>
    <sheet name="6_Calc_Timeline" sheetId="8" r:id="rId8"/>
    <sheet name="7_Calc_Stochastic" sheetId="9" r:id="rId9"/>
    <sheet name="8_Calc_Value" sheetId="10" r:id="rId10"/>
    <sheet name="9_Calc_Costs" sheetId="11" r:id="rId11"/>
    <sheet name="10_Calc_Sim" sheetId="12" r:id="rId12"/>
    <sheet name="11_PL_Monthly" sheetId="13" r:id="rId13"/>
    <sheet name="12_PL_Annual" sheetId="14" r:id="rId14"/>
    <sheet name="13_CashFlow" sheetId="15" r:id="rId15"/>
    <sheet name="14_UnitEconomics" sheetId="16" r:id="rId16"/>
    <sheet name="15_Sensitivity" sheetId="17" r:id="rId17"/>
    <sheet name="16_Dashboard" sheetId="18" r:id="rId18"/>
    <sheet name="17_Checks" sheetId="19" r:id="rId19"/>
  </sheets>
  <definedNames>
    <definedName name="Annual_Throughput">'3_Assumptions'!$B$39</definedName>
    <definedName name="AnnualThroughput_M3">'3_Assumptions'!$B$39</definedName>
    <definedName name="Base_Year">'1_TOC'!$B$14</definedName>
    <definedName name="Beta_Efficiency_Gain_Alpha">'5_ServiceModels'!$B$23</definedName>
    <definedName name="Beta_Efficiency_Gain_Beta">'5_ServiceModels'!$C$23</definedName>
    <definedName name="Beta_Efficiency_Gain_Max">'5_ServiceModels'!$E$23</definedName>
    <definedName name="Beta_Efficiency_Gain_Min">'5_ServiceModels'!$D$23</definedName>
    <definedName name="Circulation_Cycles">'6_Calc_Timeline'!$C$28</definedName>
    <definedName name="Compliance_Status">'6_Calc_Timeline'!$C$30</definedName>
    <definedName name="Day_80_Survival">'3_Assumptions'!$B$125</definedName>
    <definedName name="Day_LC50">'3_Assumptions'!$B$124</definedName>
    <definedName name="Day_Nontoxic">'3_Assumptions'!$B$126</definedName>
    <definedName name="Days_to_Compliance">'6_Calc_Timeline'!$C$27</definedName>
    <definedName name="Discount_Rate">'1_TOC'!$B$12</definedName>
    <definedName name="DowntimeCostPerDay">'3_Assumptions'!$B$52</definedName>
    <definedName name="Eff_Rapid_Rate">'6_Calc_Timeline'!$C$24</definedName>
    <definedName name="Eff_Slow_Rate">'6_Calc_Timeline'!$C$25</definedName>
    <definedName name="Gate_S1">'3_Assumptions'!$B$87:$B$89</definedName>
    <definedName name="Gate_S2">'3_Assumptions'!$C$87:$C$89</definedName>
    <definedName name="Gate_S3">'3_Assumptions'!$D$87:$D$89</definedName>
    <definedName name="Gate_S4">'3_Assumptions'!$E$87:$E$89</definedName>
    <definedName name="Gross_Value">'8_Calc_Value'!$E$18</definedName>
    <definedName name="Initial_NAFC">'3_Assumptions'!$B$108</definedName>
    <definedName name="LaborPerDay">'3_Assumptions'!$B$50</definedName>
    <definedName name="LearningCurve_Mult">'3_Assumptions'!$B$62:$B$66</definedName>
    <definedName name="List_Scenarios">'3_Assumptions'!$B$94:$B$96</definedName>
    <definedName name="List_TestingOptions">'3_Assumptions'!$A$94:$A$96</definedName>
    <definedName name="MC_Anchor">'3_Assumptions'!$B$99</definedName>
    <definedName name="MC_Expected_Days">'10_Calc_Sim'!$B$1024</definedName>
    <definedName name="MC_Expected_NPV">'10_Calc_Sim'!$B$1016</definedName>
    <definedName name="MC_P10">'10_Calc_Sim'!$B$1017</definedName>
    <definedName name="MC_P10_Days">'10_Calc_Sim'!$B$1025</definedName>
    <definedName name="MC_P50">'10_Calc_Sim'!$B$1018</definedName>
    <definedName name="MC_P50_Days">'10_Calc_Sim'!$B$1026</definedName>
    <definedName name="MC_P90">'10_Calc_Sim'!$B$1019</definedName>
    <definedName name="MC_P90_Days">'10_Calc_Sim'!$B$1027</definedName>
    <definedName name="MC_Prob_Achievable">'10_Calc_Sim'!$B$1028</definedName>
    <definedName name="MC_Prob_Positive">'10_Calc_Sim'!$B$1021</definedName>
    <definedName name="MC_StdDev">'10_Calc_Sim'!$B$1020</definedName>
    <definedName name="NAFC_After_Rapid">'6_Calc_Timeline'!$C$26</definedName>
    <definedName name="NPV_Total">'12_PL_Annual'!$B$21</definedName>
    <definedName name="Projection_Years">'1_TOC'!$B$13</definedName>
    <definedName name="Rapid_Phase_Duration">'3_Assumptions'!$B$112</definedName>
    <definedName name="Rapid_Phase_Rate">'3_Assumptions'!$B$110</definedName>
    <definedName name="Recirculation_Cycle">'3_Assumptions'!$B$113</definedName>
    <definedName name="RegulatoryPenalty">'3_Assumptions'!$B$51</definedName>
    <definedName name="S1_Value">'8_Calc_Value'!$E$13</definedName>
    <definedName name="S2_Value">'8_Calc_Value'!$E$14</definedName>
    <definedName name="S3_Value">'8_Calc_Value'!$E$15</definedName>
    <definedName name="S4_Value">'8_Calc_Value'!$E$16</definedName>
    <definedName name="Scenario_BaseValues">'4_Scenarios'!$C$10:$C$13</definedName>
    <definedName name="Scenario_Select">'1_TOC'!$B$11</definedName>
    <definedName name="Season_End_Day">'3_Assumptions'!$B$13</definedName>
    <definedName name="Season_End_Month">'3_Assumptions'!$B$12</definedName>
    <definedName name="Season_Length">'3_Assumptions'!$B$14</definedName>
    <definedName name="Season_Start_Day">'3_Assumptions'!$B$11</definedName>
    <definedName name="Season_Start_Month">'3_Assumptions'!$B$10</definedName>
    <definedName name="Slow_Phase_Rate">'3_Assumptions'!$B$111</definedName>
    <definedName name="Stoch_Efficiency">'7_Calc_Stochastic'!$C$17</definedName>
    <definedName name="Stoch_ExtValue">'7_Calc_Stochastic'!$C$15</definedName>
    <definedName name="Stoch_Interventions">'7_Calc_Stochastic'!$C$16</definedName>
    <definedName name="Stoch_SeasonExt">'7_Calc_Stochastic'!$C$14</definedName>
    <definedName name="Stoch_TreatmentRate">'7_Calc_Stochastic'!$C$18</definedName>
    <definedName name="System_Capacity">'3_Assumptions'!$B$114</definedName>
    <definedName name="Target_NAFC">'3_Assumptions'!$B$109</definedName>
    <definedName name="Testing_Cost">'9_Calc_Costs'!$C$19</definedName>
    <definedName name="Testing_Option">'1_TOC'!$B$10</definedName>
    <definedName name="TestOpt_Cost">'3_Assumptions'!$E$76:$E$78</definedName>
    <definedName name="TestOpt_Interval">'3_Assumptions'!$C$76:$C$78</definedName>
    <definedName name="TestOpt_Latency">'3_Assumptions'!$F$76:$F$78</definedName>
    <definedName name="TestOpt_Method">'3_Assumptions'!$B$76:$B$78</definedName>
    <definedName name="TestOpt_Option">'3_Assumptions'!$A$76:$A$78</definedName>
    <definedName name="TestOpt_Points">'3_Assumptions'!$D$76:$D$78</definedName>
    <definedName name="Timeline_DiscountFactor">'6_Calc_Timeline'!$D$13:$D$18</definedName>
    <definedName name="Timeline_LearningMult">'6_Calc_Timeline'!$E$13:$E$18</definedName>
    <definedName name="Treatment_Cells">'3_Assumptions'!$B$38</definedName>
    <definedName name="Treatment_Days">'3_Assumptions'!$B$14</definedName>
    <definedName name="Treatment_Efficiency">'6_Calc_Timeline'!$C$29</definedName>
    <definedName name="TreatmentCells">'3_Assumptions'!$B$38</definedName>
    <definedName name="Tri_Extension_Value_Per_Day_Max">'5_ServiceModels'!$D$11</definedName>
    <definedName name="Tri_Extension_Value_Per_Day_Min">'5_ServiceModels'!$B$11</definedName>
    <definedName name="Tri_Extension_Value_Per_Day_Mode">'5_ServiceModels'!$C$11</definedName>
    <definedName name="Tri_Interventions_Avoided_Max">'5_ServiceModels'!$D$12</definedName>
    <definedName name="Tri_Interventions_Avoided_Min">'5_ServiceModels'!$B$12</definedName>
    <definedName name="Tri_Interventions_Avoided_Mode">'5_ServiceModels'!$C$12</definedName>
    <definedName name="Tri_Season_Extension_Days_Max">'5_ServiceModels'!$D$10</definedName>
    <definedName name="Tri_Season_Extension_Days_Min">'5_ServiceModels'!$B$10</definedName>
    <definedName name="Tri_Season_Extension_Days_Mode">'5_ServiceModels'!$C$10</definedName>
    <definedName name="Tri_Treatment_Rate_Factor_Max">'5_ServiceModels'!$D$13</definedName>
    <definedName name="Tri_Treatment_Rate_Factor_Min">'5_ServiceModels'!$B$13</definedName>
    <definedName name="Tri_Treatment_Rate_Factor_Mode">'5_ServiceModels'!$C$13</definedName>
    <definedName name="Value_Per_M3">'3_Assumptions'!$B$40</definedName>
    <definedName name="ValuePer_M3">'3_Assumptions'!$B$40</definedName>
    <definedName name="Wetland_Area">'3_Assumptions'!$B$37</definedName>
    <definedName name="WetlandArea_Ha">'3_Assumptions'!$B$37</definedName>
    <definedName name="Year1_Gross_Value">'12_PL_Annual'!$F$13</definedName>
    <definedName name="Year1_Net_Value">'12_PL_Annual'!$H$13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9" l="1"/>
  <c r="D24" i="19"/>
  <c r="D23" i="19"/>
  <c r="D22" i="19"/>
  <c r="D18" i="19"/>
  <c r="D17" i="19"/>
  <c r="D16" i="19"/>
  <c r="D15" i="19"/>
  <c r="D14" i="19"/>
  <c r="D13" i="19"/>
  <c r="B43" i="18"/>
  <c r="C42" i="18"/>
  <c r="B42" i="18"/>
  <c r="C31" i="18"/>
  <c r="B13" i="18"/>
  <c r="B24" i="16"/>
  <c r="B13" i="16"/>
  <c r="A17" i="15"/>
  <c r="A16" i="15"/>
  <c r="A15" i="15"/>
  <c r="A14" i="15"/>
  <c r="A13" i="15"/>
  <c r="I17" i="14"/>
  <c r="A17" i="14"/>
  <c r="I16" i="14"/>
  <c r="A16" i="14"/>
  <c r="I15" i="14"/>
  <c r="A15" i="14"/>
  <c r="I14" i="14"/>
  <c r="A14" i="14"/>
  <c r="I13" i="14"/>
  <c r="A13" i="14"/>
  <c r="B1028" i="12"/>
  <c r="B1027" i="12"/>
  <c r="B1026" i="12"/>
  <c r="B1025" i="12"/>
  <c r="B1024" i="12"/>
  <c r="B1021" i="12"/>
  <c r="B18" i="18" s="1"/>
  <c r="B1020" i="12"/>
  <c r="B1019" i="12"/>
  <c r="B17" i="18" s="1"/>
  <c r="B1018" i="12"/>
  <c r="B16" i="18" s="1"/>
  <c r="B1017" i="12"/>
  <c r="B15" i="18" s="1"/>
  <c r="B1016" i="12"/>
  <c r="C16" i="11"/>
  <c r="C15" i="11"/>
  <c r="C14" i="11"/>
  <c r="C17" i="11" s="1"/>
  <c r="C18" i="11" s="1"/>
  <c r="C19" i="11" s="1"/>
  <c r="C13" i="11"/>
  <c r="C16" i="10"/>
  <c r="B16" i="10"/>
  <c r="B15" i="10"/>
  <c r="B14" i="10"/>
  <c r="B13" i="10"/>
  <c r="B18" i="9"/>
  <c r="C18" i="9" s="1"/>
  <c r="B17" i="9"/>
  <c r="C17" i="9" s="1"/>
  <c r="B16" i="9"/>
  <c r="C16" i="9" s="1"/>
  <c r="D14" i="10" s="1"/>
  <c r="B15" i="9"/>
  <c r="C15" i="9" s="1"/>
  <c r="B14" i="9"/>
  <c r="C14" i="9" s="1"/>
  <c r="D13" i="10" s="1"/>
  <c r="C2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C13" i="8"/>
  <c r="B13" i="8"/>
  <c r="E89" i="5"/>
  <c r="C33" i="18" s="1"/>
  <c r="D89" i="5"/>
  <c r="C89" i="5"/>
  <c r="C14" i="10" s="1"/>
  <c r="B89" i="5"/>
  <c r="E88" i="5"/>
  <c r="D88" i="5"/>
  <c r="C88" i="5"/>
  <c r="B88" i="5"/>
  <c r="E87" i="5"/>
  <c r="D87" i="5"/>
  <c r="C87" i="5"/>
  <c r="B87" i="5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1" i="4"/>
  <c r="B10" i="4"/>
  <c r="B9" i="4"/>
  <c r="B8" i="4"/>
  <c r="B7" i="4"/>
  <c r="B6" i="4"/>
  <c r="B5" i="4"/>
  <c r="B5" i="1"/>
  <c r="E14" i="10" l="1"/>
  <c r="C49" i="18"/>
  <c r="B49" i="18"/>
  <c r="C48" i="18"/>
  <c r="B48" i="18"/>
  <c r="C47" i="18"/>
  <c r="B47" i="18"/>
  <c r="G10" i="12"/>
  <c r="G14" i="14"/>
  <c r="G17" i="14"/>
  <c r="B15" i="16"/>
  <c r="B19" i="16"/>
  <c r="B25" i="16"/>
  <c r="D20" i="19"/>
  <c r="G13" i="14"/>
  <c r="G15" i="14"/>
  <c r="G16" i="14"/>
  <c r="B19" i="18"/>
  <c r="C24" i="8"/>
  <c r="C25" i="8"/>
  <c r="B30" i="4" s="1"/>
  <c r="D15" i="10"/>
  <c r="D16" i="10"/>
  <c r="E16" i="10" s="1"/>
  <c r="C46" i="18"/>
  <c r="B46" i="18"/>
  <c r="C15" i="10"/>
  <c r="E15" i="10" s="1"/>
  <c r="C32" i="18"/>
  <c r="C30" i="18"/>
  <c r="C13" i="10"/>
  <c r="E13" i="10" s="1"/>
  <c r="D10" i="12" l="1"/>
  <c r="C13" i="14"/>
  <c r="C14" i="14"/>
  <c r="C15" i="14"/>
  <c r="C17" i="14"/>
  <c r="C16" i="14"/>
  <c r="B31" i="18"/>
  <c r="C26" i="8"/>
  <c r="D26" i="19"/>
  <c r="B29" i="4"/>
  <c r="B33" i="18"/>
  <c r="E16" i="14"/>
  <c r="E17" i="14"/>
  <c r="E15" i="14"/>
  <c r="E14" i="14"/>
  <c r="E13" i="14"/>
  <c r="F10" i="12"/>
  <c r="E10" i="12"/>
  <c r="D14" i="14"/>
  <c r="D15" i="14"/>
  <c r="D16" i="14"/>
  <c r="D17" i="14"/>
  <c r="B32" i="18"/>
  <c r="D13" i="14"/>
  <c r="C10" i="12"/>
  <c r="B15" i="14"/>
  <c r="B16" i="14"/>
  <c r="B17" i="14"/>
  <c r="B13" i="14"/>
  <c r="B14" i="14"/>
  <c r="B30" i="18"/>
  <c r="E18" i="10"/>
  <c r="F14" i="14" l="1"/>
  <c r="H14" i="14" s="1"/>
  <c r="C27" i="8"/>
  <c r="B31" i="4"/>
  <c r="H10" i="12"/>
  <c r="B14" i="16"/>
  <c r="B16" i="16"/>
  <c r="B17" i="16"/>
  <c r="B18" i="16"/>
  <c r="B26" i="16"/>
  <c r="D21" i="19"/>
  <c r="F15" i="14"/>
  <c r="H15" i="14" s="1"/>
  <c r="F16" i="14"/>
  <c r="H16" i="14" s="1"/>
  <c r="F17" i="14"/>
  <c r="H17" i="14" s="1"/>
  <c r="F13" i="14"/>
  <c r="B14" i="15" l="1"/>
  <c r="J14" i="14"/>
  <c r="C28" i="8"/>
  <c r="C30" i="8"/>
  <c r="C44" i="18" s="1"/>
  <c r="D25" i="19"/>
  <c r="I10" i="12"/>
  <c r="B44" i="18"/>
  <c r="B32" i="4"/>
  <c r="B15" i="15"/>
  <c r="J15" i="14"/>
  <c r="B16" i="15"/>
  <c r="J16" i="14"/>
  <c r="B17" i="15"/>
  <c r="J17" i="14"/>
  <c r="B22" i="14"/>
  <c r="B20" i="18"/>
  <c r="H13" i="14"/>
  <c r="B45" i="18" l="1"/>
  <c r="C45" i="18"/>
  <c r="B21" i="18"/>
  <c r="J13" i="14"/>
  <c r="B23" i="14"/>
  <c r="B13" i="15"/>
  <c r="C13" i="15" s="1"/>
  <c r="C14" i="15" s="1"/>
  <c r="C15" i="15" s="1"/>
  <c r="C16" i="15" s="1"/>
  <c r="C17" i="15" s="1"/>
  <c r="B21" i="14" l="1"/>
  <c r="D13" i="15"/>
  <c r="D14" i="15" s="1"/>
  <c r="D15" i="15" s="1"/>
  <c r="D16" i="15" s="1"/>
  <c r="D17" i="15" s="1"/>
  <c r="B20" i="16" l="1"/>
  <c r="E13" i="17"/>
  <c r="F13" i="17"/>
  <c r="E14" i="17"/>
  <c r="F14" i="17"/>
  <c r="G14" i="17" s="1"/>
  <c r="D19" i="19"/>
  <c r="E15" i="17"/>
  <c r="F15" i="17"/>
  <c r="G15" i="17" s="1"/>
  <c r="E16" i="17"/>
  <c r="F16" i="17"/>
  <c r="G16" i="17" s="1"/>
  <c r="B14" i="18"/>
  <c r="B10" i="12"/>
  <c r="G13" i="17" l="1"/>
  <c r="B66" i="18"/>
  <c r="B32" i="19"/>
  <c r="B10" i="1"/>
  <c r="B31" i="19"/>
  <c r="B33" i="19"/>
  <c r="B9" i="1"/>
  <c r="B67" i="18"/>
</calcChain>
</file>

<file path=xl/sharedStrings.xml><?xml version="1.0" encoding="utf-8"?>
<sst xmlns="http://schemas.openxmlformats.org/spreadsheetml/2006/main" count="1115" uniqueCount="729">
  <si>
    <t>Luminous Wetland Monte Carlo Financial Model</t>
  </si>
  <si>
    <t>FAST Standard Compliant (18-Sheet Architecture)</t>
  </si>
  <si>
    <t>Version:</t>
  </si>
  <si>
    <t>3.0</t>
  </si>
  <si>
    <t>Date:</t>
  </si>
  <si>
    <t>Author:</t>
  </si>
  <si>
    <t>Luminous BioSolutions</t>
  </si>
  <si>
    <t>Model Status</t>
  </si>
  <si>
    <t>Health:</t>
  </si>
  <si>
    <t>Errors:</t>
  </si>
  <si>
    <t>Sheet Navigation</t>
  </si>
  <si>
    <t>1_TOC</t>
  </si>
  <si>
    <t>Table of Contents / Control panel</t>
  </si>
  <si>
    <t>2_Instructions</t>
  </si>
  <si>
    <t>Methodology and documentation</t>
  </si>
  <si>
    <t>3_Assumptions</t>
  </si>
  <si>
    <t>ALL inputs (timing, site, test options, validation)</t>
  </si>
  <si>
    <t>4_Scenarios</t>
  </si>
  <si>
    <t>Value scenario definitions</t>
  </si>
  <si>
    <t>5_ServiceModels</t>
  </si>
  <si>
    <t>Monte Carlo distributions</t>
  </si>
  <si>
    <t>6_Calc_Timeline</t>
  </si>
  <si>
    <t>Projection timeline</t>
  </si>
  <si>
    <t>7_Calc_Stochastic</t>
  </si>
  <si>
    <t>Random variable generation</t>
  </si>
  <si>
    <t>8_Calc_Value</t>
  </si>
  <si>
    <t>Gated value calculations</t>
  </si>
  <si>
    <t>9_Calc_Costs</t>
  </si>
  <si>
    <t>Cost calculations</t>
  </si>
  <si>
    <t>10_Calc_Sim</t>
  </si>
  <si>
    <t>1000-iteration Monte Carlo</t>
  </si>
  <si>
    <t>11_PL_Monthly</t>
  </si>
  <si>
    <t>Monthly P&amp;L (placeholder)</t>
  </si>
  <si>
    <t>12_PL_Annual</t>
  </si>
  <si>
    <t>Annual projections</t>
  </si>
  <si>
    <t>13_CashFlow</t>
  </si>
  <si>
    <t>Cumulative projections</t>
  </si>
  <si>
    <t>14_UnitEconomics</t>
  </si>
  <si>
    <t>Unit economics view</t>
  </si>
  <si>
    <t>15_Sensitivity</t>
  </si>
  <si>
    <t>Tornado analysis</t>
  </si>
  <si>
    <t>16_Dashboard</t>
  </si>
  <si>
    <t>Executive dashboard</t>
  </si>
  <si>
    <t>17_Checks</t>
  </si>
  <si>
    <t>Validation checks</t>
  </si>
  <si>
    <t>Control Panel</t>
  </si>
  <si>
    <t>Description:</t>
  </si>
  <si>
    <t>User-editable model parameters that drive all calculations. Change these values to explore different scenarios.</t>
  </si>
  <si>
    <t>Purpose:</t>
  </si>
  <si>
    <t>Provide a single location for users to modify key model inputs</t>
  </si>
  <si>
    <t>Assumptions:</t>
  </si>
  <si>
    <t>- Testing_Option selects between HRMS and biosensor approaches
- Scenario_Select chooses conservative, base, or optimistic parameters
- Discount_Rate applies to all NPV calculations
- Projection_Years determines the financial projection horizon</t>
  </si>
  <si>
    <t>Data Source:</t>
  </si>
  <si>
    <t>User input - default values from Financial Model Framework v2.1</t>
  </si>
  <si>
    <t>Related Tables:</t>
  </si>
  <si>
    <t>tbl_ModelScenarios, tbl_TestOptions</t>
  </si>
  <si>
    <t>Parameter</t>
  </si>
  <si>
    <t>Value</t>
  </si>
  <si>
    <t>Validation</t>
  </si>
  <si>
    <t>Description</t>
  </si>
  <si>
    <t>Testing_Option</t>
  </si>
  <si>
    <t>Daily_Biosensor</t>
  </si>
  <si>
    <t>Dropdown</t>
  </si>
  <si>
    <t>Selected testing method</t>
  </si>
  <si>
    <t>Scenario_Select</t>
  </si>
  <si>
    <t>Base</t>
  </si>
  <si>
    <t>Model scenario</t>
  </si>
  <si>
    <t>Discount_Rate</t>
  </si>
  <si>
    <t>0%-15%</t>
  </si>
  <si>
    <t>NPV discount rate</t>
  </si>
  <si>
    <t>Projection_Years</t>
  </si>
  <si>
    <t>1-10</t>
  </si>
  <si>
    <t>Projection horizon</t>
  </si>
  <si>
    <t>Base_Year</t>
  </si>
  <si>
    <t>2024-2030</t>
  </si>
  <si>
    <t>Model start year</t>
  </si>
  <si>
    <t>Model Instructions &amp; Documentation</t>
  </si>
  <si>
    <t>1. Model Purpose</t>
  </si>
  <si>
    <t xml:space="preserve">  - Quantify value of high-frequency biosensor monitoring vs HRMS for OSPW wetland treatment</t>
  </si>
  <si>
    <t xml:space="preserve">  - Monte Carlo simulation for uncertainty quantification (1000 iterations)</t>
  </si>
  <si>
    <t xml:space="preserve">  - FAST Standard compliance for transparency and auditability</t>
  </si>
  <si>
    <t xml:space="preserve">  - All calculations performed in Excel - Python only generates structure/formulas</t>
  </si>
  <si>
    <t>2. How to Use This Model</t>
  </si>
  <si>
    <t>1. Edit yellow-highlighted cells in 1_TOC and 3_Assumptions</t>
  </si>
  <si>
    <t>2. Go to 10_Calc_Sim and set up the Data Table:</t>
  </si>
  <si>
    <t xml:space="preserve">   - Select range shown in instructions (formula row through 1000 iterations)</t>
  </si>
  <si>
    <t xml:space="preserve">   - Data &gt; What-If Analysis &gt; Data Table</t>
  </si>
  <si>
    <t xml:space="preserve">   - Column Input Cell: $K$1 (blank cell on same sheet)</t>
  </si>
  <si>
    <t>3. Press Ctrl+Alt+F9 to run Monte Carlo simulation</t>
  </si>
  <si>
    <t>4. View results in 16_Dashboard</t>
  </si>
  <si>
    <t>5. Check 17_Checks for any validation errors</t>
  </si>
  <si>
    <t>3. Latency Gating Logic</t>
  </si>
  <si>
    <t>HRMS lab testing has 42-day turnaround, blocking time-sensitive decisions:</t>
  </si>
  <si>
    <t>Scenario</t>
  </si>
  <si>
    <t>Required_Response</t>
  </si>
  <si>
    <t>HRMS_42d</t>
  </si>
  <si>
    <t>Biosensor_1d</t>
  </si>
  <si>
    <t>S1: Season Extension</t>
  </si>
  <si>
    <t>7 days</t>
  </si>
  <si>
    <t>BLOCKED</t>
  </si>
  <si>
    <t>ENABLED</t>
  </si>
  <si>
    <t>S2: Intervention Avoidance</t>
  </si>
  <si>
    <t>S3: Spatial Routing</t>
  </si>
  <si>
    <t>14 days</t>
  </si>
  <si>
    <t>S4: Early Detection</t>
  </si>
  <si>
    <t>3 days</t>
  </si>
  <si>
    <t>4. Glossary</t>
  </si>
  <si>
    <t>HRMS</t>
  </si>
  <si>
    <t>High-Resolution Mass Spectrometry</t>
  </si>
  <si>
    <t>OSPW</t>
  </si>
  <si>
    <t>Oil Sands Process-affected Water</t>
  </si>
  <si>
    <t>ARO</t>
  </si>
  <si>
    <t>Asset Retirement Obligation</t>
  </si>
  <si>
    <t>NPV</t>
  </si>
  <si>
    <t>Net Present Value</t>
  </si>
  <si>
    <t>HLR</t>
  </si>
  <si>
    <t>Hydraulic Loading Rate</t>
  </si>
  <si>
    <t>FAST</t>
  </si>
  <si>
    <t>Flexible, Appropriate, Structured, Transparent</t>
  </si>
  <si>
    <t>NAFC</t>
  </si>
  <si>
    <t>Naphthenic Acid Fraction Compounds</t>
  </si>
  <si>
    <t>5. Data Sources</t>
  </si>
  <si>
    <t xml:space="preserve">  - Zhang (2026) Long-Dated Environmental Liabilities in Oil Sands</t>
  </si>
  <si>
    <t xml:space="preserve">  - Kadlec &amp; Wallace (2009) Treatment Wetlands, 2nd Ed.</t>
  </si>
  <si>
    <t xml:space="preserve">  - FAST Standard Organisation (fast-standard.org)</t>
  </si>
  <si>
    <t xml:space="preserve">  - Luminous BioSolutions Financial Model Framework</t>
  </si>
  <si>
    <t xml:space="preserve">  - Kearl Wetland Pilot Data (GROW Presentation, Dec 2025)</t>
  </si>
  <si>
    <t>6. Value Per Cubic Meter Derivation</t>
  </si>
  <si>
    <t>The $5/m3 operational value is derived from:</t>
  </si>
  <si>
    <t xml:space="preserve">  - Conservative annual value: $250,000/year (Financial Model Framework)</t>
  </si>
  <si>
    <t xml:space="preserve">  - Annual throughput: 50,000 m3/year (3_Assumptions default)</t>
  </si>
  <si>
    <t xml:space="preserve">  - Calculation: $250,000 / 50,000 m3 = $5/m3</t>
  </si>
  <si>
    <t xml:space="preserve">  - This is the OPERATIONAL benefit only - excludes avoided treatment and ARO impacts</t>
  </si>
  <si>
    <t>Value Sensitivity Analysis (15_Sensitivity):</t>
  </si>
  <si>
    <t xml:space="preserve">  - Operational: $3-8/m3 (base $5) - Direct wetland treatment value</t>
  </si>
  <si>
    <t xml:space="preserve">  - Avoided Treatment: $10-30/m3 (base $20) - Alternative treatment costs</t>
  </si>
  <si>
    <t xml:space="preserve">  - ARO Liability: $21-93/m3 (base $50) - Zhang (2026) liability analysis</t>
  </si>
  <si>
    <t>7. Treatment Kinetics (Kearl 2022 Field Data)</t>
  </si>
  <si>
    <t>Source: Vander Meulen &amp; Headley (2024) GROW Presentation</t>
  </si>
  <si>
    <t>Project: Genome Canada LSARP - GROW (Genomics Research for Optimization of Constructed Treatment Wetlands)</t>
  </si>
  <si>
    <t>Two-Phase Kinetics Model:</t>
  </si>
  <si>
    <t xml:space="preserve">  - Rapid Phase (Days 0-15): -0.532 mg/L/day (R^2=0.43)</t>
  </si>
  <si>
    <t xml:space="preserve">  - Slow Phase (Days 30-69): -0.248 mg/L/day (R^2=0.50)</t>
  </si>
  <si>
    <t xml:space="preserve">  - The slowdown reflects preferential removal of labile compounds</t>
  </si>
  <si>
    <t>Toxicity Endpoints (Fathead Minnow Embryo):</t>
  </si>
  <si>
    <t xml:space="preserve">  - Day 14: ~50% survival (1 recirculation cycle = LC50)</t>
  </si>
  <si>
    <t xml:space="preserve">  - Day 28: 80-90% survival (2 cycles)</t>
  </si>
  <si>
    <t xml:space="preserve">  - Day 42: &gt;90% survival (3 cycles = non-toxic, equivalent to controls)</t>
  </si>
  <si>
    <t>The Concentration Paradox:</t>
  </si>
  <si>
    <t xml:space="preserve">  - Water at Day 42 was non-toxic despite ~50 mg/L NAFC concentration</t>
  </si>
  <si>
    <t xml:space="preserve">  - Literature LC50 values for fathead minnow: 18-34 mg/L</t>
  </si>
  <si>
    <t xml:space="preserve">  - Explanation: Wetlands preferentially remove high-carbon, lipophilic (most toxic) compounds</t>
  </si>
  <si>
    <t xml:space="preserve">  - Remaining NAFCs are oxidized (O3, O4 classes) and less bioavailable</t>
  </si>
  <si>
    <t xml:space="preserve">  - Implication: Total NAFC concentration alone may be inadequate for assessing safety</t>
  </si>
  <si>
    <t>Adjusting Parameters:</t>
  </si>
  <si>
    <t xml:space="preserve">  - All kinetics parameters are in 3_Assumptions Section H (yellow cells)</t>
  </si>
  <si>
    <t xml:space="preserve">  - Treatment_Rate_Factor in 5_ServiceModels captures seasonal/vegetation variability</t>
  </si>
  <si>
    <t xml:space="preserve">  - Modify Initial_NAFC to match your source water concentration</t>
  </si>
  <si>
    <t xml:space="preserve">  - Adjust Target_NAFC for different regulatory thresholds</t>
  </si>
  <si>
    <t>8. Change Log</t>
  </si>
  <si>
    <t>Version</t>
  </si>
  <si>
    <t>Date</t>
  </si>
  <si>
    <t>Changes</t>
  </si>
  <si>
    <t>3.2</t>
  </si>
  <si>
    <t>2026-01-29</t>
  </si>
  <si>
    <t>Value/m3 derivation documentation (Section 6)</t>
  </si>
  <si>
    <t>3.1</t>
  </si>
  <si>
    <t>Kearl treatment kinetics integration, Days_to_Compliance MC</t>
  </si>
  <si>
    <t>FAST 18-sheet refactor with LOCATIONS registry</t>
  </si>
  <si>
    <t>2.0</t>
  </si>
  <si>
    <t>2026-01-28</t>
  </si>
  <si>
    <t>Excel-native Monte Carlo via Data Tables</t>
  </si>
  <si>
    <t>1.0</t>
  </si>
  <si>
    <t>2025-12-01</t>
  </si>
  <si>
    <t>Initial Python-based model</t>
  </si>
  <si>
    <t>Input Traceability Map</t>
  </si>
  <si>
    <t>Shows which calculation sheets directly reference each input</t>
  </si>
  <si>
    <t>Input Name</t>
  </si>
  <si>
    <t>Source Sheet</t>
  </si>
  <si>
    <t>Referenced By</t>
  </si>
  <si>
    <t>Initial_NAFC</t>
  </si>
  <si>
    <t>Target_NAFC</t>
  </si>
  <si>
    <t>Rapid_Phase_Rate</t>
  </si>
  <si>
    <t>Slow_Phase_Rate</t>
  </si>
  <si>
    <t>Rapid_Phase_Duration</t>
  </si>
  <si>
    <t>Recirculation_Cycle</t>
  </si>
  <si>
    <t>Season_Length</t>
  </si>
  <si>
    <t>6_Calc_Timeline, 9_Calc_Costs, 10_Calc_Sim</t>
  </si>
  <si>
    <t>LearningCurve_Mult</t>
  </si>
  <si>
    <t>(range - see source sheet)</t>
  </si>
  <si>
    <t>Tri_Season_Extension_Days_Min</t>
  </si>
  <si>
    <t>Tri_Season_Extension_Days_Mode</t>
  </si>
  <si>
    <t>Tri_Season_Extension_Days_Max</t>
  </si>
  <si>
    <t>Tri_Extension_Value_Per_Day_Min</t>
  </si>
  <si>
    <t>Tri_Extension_Value_Per_Day_Mode</t>
  </si>
  <si>
    <t>Tri_Extension_Value_Per_Day_Max</t>
  </si>
  <si>
    <t>Tri_Interventions_Avoided_Min</t>
  </si>
  <si>
    <t>Tri_Interventions_Avoided_Mode</t>
  </si>
  <si>
    <t>Tri_Interventions_Avoided_Max</t>
  </si>
  <si>
    <t>Tri_Treatment_Rate_Factor_Min</t>
  </si>
  <si>
    <t>Tri_Treatment_Rate_Factor_Mode</t>
  </si>
  <si>
    <t>Tri_Treatment_Rate_Factor_Max</t>
  </si>
  <si>
    <t>Beta_Efficiency_Gain_Alpha</t>
  </si>
  <si>
    <t>Beta_Efficiency_Gain_Beta</t>
  </si>
  <si>
    <t>Beta_Efficiency_Gain_Min</t>
  </si>
  <si>
    <t>Beta_Efficiency_Gain_Max</t>
  </si>
  <si>
    <t>Eff_Rapid_Rate</t>
  </si>
  <si>
    <t>Eff_Slow_Rate</t>
  </si>
  <si>
    <t>NAFC_After_Rapid</t>
  </si>
  <si>
    <t>Days_to_Compliance</t>
  </si>
  <si>
    <t>6_Calc_Timeline, 10_Calc_Sim</t>
  </si>
  <si>
    <t>Timeline_LearningMult</t>
  </si>
  <si>
    <t>Timeline_DiscountFactor</t>
  </si>
  <si>
    <t>Summary</t>
  </si>
  <si>
    <t>Total inputs tracked: 30</t>
  </si>
  <si>
    <t>Registry entries: 28</t>
  </si>
  <si>
    <t>Note:</t>
  </si>
  <si>
    <t>'Referenced By' shows direct formula references only,</t>
  </si>
  <si>
    <t>not downstream dependencies. The verify_traceability()</t>
  </si>
  <si>
    <t>function validates this registry against actual formulas.</t>
  </si>
  <si>
    <t>Model Assumptions (Single Source of Truth)</t>
  </si>
  <si>
    <t>A. Timing Parameters</t>
  </si>
  <si>
    <t>Treatment season timing that determines the operational window for wetland treatment.</t>
  </si>
  <si>
    <t>Define the active treatment period for financial projections</t>
  </si>
  <si>
    <t>- Treatment season aligned with Alberta weather patterns (May-September)
- Season length directly impacts annual value capture potential</t>
  </si>
  <si>
    <t>Standard Alberta treatment wetland operational calendar</t>
  </si>
  <si>
    <t>tbl_Seasonality, tbl_Timeline</t>
  </si>
  <si>
    <t>Unit</t>
  </si>
  <si>
    <t>Notes</t>
  </si>
  <si>
    <t>Season_Start_Month</t>
  </si>
  <si>
    <t>month</t>
  </si>
  <si>
    <t>May</t>
  </si>
  <si>
    <t>Season_Start_Day</t>
  </si>
  <si>
    <t>day</t>
  </si>
  <si>
    <t>Mid-May</t>
  </si>
  <si>
    <t>Season_End_Month</t>
  </si>
  <si>
    <t>September</t>
  </si>
  <si>
    <t>Season_End_Day</t>
  </si>
  <si>
    <t>Mid-September</t>
  </si>
  <si>
    <t>Treatment_Days</t>
  </si>
  <si>
    <t>days</t>
  </si>
  <si>
    <t>Active season length</t>
  </si>
  <si>
    <t>Seasonality Index</t>
  </si>
  <si>
    <t>Monthly activity multipliers reflecting natural treatment capacity variation across the season.</t>
  </si>
  <si>
    <t>Weight value calculations by month based on treatment capacity patterns</t>
  </si>
  <si>
    <t>- Peak activity in June-July matches optimal treatment temperatures
- Ramp-up in May and decline in September reflect shoulder seasons</t>
  </si>
  <si>
    <t>Kearl pilot operational data patterns</t>
  </si>
  <si>
    <t>tbl_Timing, tbl_Timeline</t>
  </si>
  <si>
    <t>Month</t>
  </si>
  <si>
    <t>Month_Num</t>
  </si>
  <si>
    <t>Multiplier</t>
  </si>
  <si>
    <t>Activity</t>
  </si>
  <si>
    <t>Ramp-up</t>
  </si>
  <si>
    <t>June</t>
  </si>
  <si>
    <t>Peak</t>
  </si>
  <si>
    <t>July</t>
  </si>
  <si>
    <t>August</t>
  </si>
  <si>
    <t>Slight decline</t>
  </si>
  <si>
    <t>Decline</t>
  </si>
  <si>
    <t>B. Site Configuration</t>
  </si>
  <si>
    <t>Physical wetland parameters that define treatment capacity and value per unit.</t>
  </si>
  <si>
    <t>Establish the operational scale for all calculations</t>
  </si>
  <si>
    <t>- Standard 1.0 ha design based on Kearl pilot scaling
- HLR of 0.05 m3/m2/day is conservative for constructed wetlands</t>
  </si>
  <si>
    <t>Kearl pilot scaling (0.76 ha) extrapolated to standard design</t>
  </si>
  <si>
    <t>tbl_TreatmentKinetics</t>
  </si>
  <si>
    <t>Source</t>
  </si>
  <si>
    <t>WetlandAreaHa</t>
  </si>
  <si>
    <t>ha</t>
  </si>
  <si>
    <t>Standard design (Kearl pilot = 0.76 ha)</t>
  </si>
  <si>
    <t>TreatmentCells</t>
  </si>
  <si>
    <t>count</t>
  </si>
  <si>
    <t>Multi-cell design</t>
  </si>
  <si>
    <t>AnnualThroughputM3</t>
  </si>
  <si>
    <t>m3/yr</t>
  </si>
  <si>
    <t>HLR = 0.05 m3/m2/day</t>
  </si>
  <si>
    <t>ValuePerM3</t>
  </si>
  <si>
    <t>$/m3</t>
  </si>
  <si>
    <t>$250K/yr / 50K m3/yr (Section 6)</t>
  </si>
  <si>
    <t>C. Cost Parameters</t>
  </si>
  <si>
    <t>Operational cost assumptions for labor, penalties, and downtime.</t>
  </si>
  <si>
    <t>Enable cost-benefit calculations for testing options</t>
  </si>
  <si>
    <t>- Labor costs include all direct operational expenses
- Regulatory penalty reflects typical EPEA violation costs</t>
  </si>
  <si>
    <t>Industry estimates from Financial Model Framework v2.1</t>
  </si>
  <si>
    <t>tbl_CostCalc</t>
  </si>
  <si>
    <t>LaborPerDay</t>
  </si>
  <si>
    <t>$/day</t>
  </si>
  <si>
    <t>RegulatoryPenalty</t>
  </si>
  <si>
    <t>$</t>
  </si>
  <si>
    <t>DowntimeCostPerDay</t>
  </si>
  <si>
    <t>D. Learning Curve</t>
  </si>
  <si>
    <t>Year-over-year efficiency multipliers reflecting operational maturity progression.</t>
  </si>
  <si>
    <t>Discount early-year value to account for pilot learning and optimization</t>
  </si>
  <si>
    <t>- Year 1 at 50% reflects pilot learning phase
- Full maturity (100%) achieved by Year 3</t>
  </si>
  <si>
    <t>Standard industrial learning curve for new process technology</t>
  </si>
  <si>
    <t>tbl_Timeline, tbl_GatedValues</t>
  </si>
  <si>
    <t>Year</t>
  </si>
  <si>
    <t>Pilot learning</t>
  </si>
  <si>
    <t>Initial optimization</t>
  </si>
  <si>
    <t>Full maturity</t>
  </si>
  <si>
    <t>Steady state</t>
  </si>
  <si>
    <t>E. Test Options</t>
  </si>
  <si>
    <t>Testing method specifications including frequency, cost, and result latency.</t>
  </si>
  <si>
    <t>Compare HRMS lab testing vs real-time biosensor monitoring approaches</t>
  </si>
  <si>
    <t>- HRMS costs include lab fees and sample logistics
- Biosensor costs assume deployed hardware and consumables
- Latency includes sample processing and reporting time</t>
  </si>
  <si>
    <t>HRMS: Commercial lab quotes; Biosensor: Luminous device specifications</t>
  </si>
  <si>
    <t>tbl_LatencyGating, tbl_CostCalc</t>
  </si>
  <si>
    <t>Option</t>
  </si>
  <si>
    <t>Method</t>
  </si>
  <si>
    <t>Interval</t>
  </si>
  <si>
    <t>Points</t>
  </si>
  <si>
    <t>Cost_Per_Test</t>
  </si>
  <si>
    <t>Latency_Days</t>
  </si>
  <si>
    <t>Monthly_HRMS</t>
  </si>
  <si>
    <t>Weekly_HRMS</t>
  </si>
  <si>
    <t>Biosensor</t>
  </si>
  <si>
    <t>Latency Gating (Calculated)</t>
  </si>
  <si>
    <t>Calculated gate status showing which testing options can capture each value scenario.</t>
  </si>
  <si>
    <t>Determine ENABLED/BLOCKED status based on latency vs required response time</t>
  </si>
  <si>
    <t>- ENABLED if testing latency &lt;= scenario required response days
- BLOCKED if testing latency &gt; scenario required response days
- Gates determine whether value can be captured</t>
  </si>
  <si>
    <t>Calculated from tbl_TestOptions latency vs tbl_ValueScenarios requirements</t>
  </si>
  <si>
    <t>tbl_TestOptions, tbl_ValueScenarios, tbl_GatedValues</t>
  </si>
  <si>
    <t>S1_Gate</t>
  </si>
  <si>
    <t>S2_Gate</t>
  </si>
  <si>
    <t>S3_Gate</t>
  </si>
  <si>
    <t>S4_Gate</t>
  </si>
  <si>
    <t>F. VALIDATION LISTS</t>
  </si>
  <si>
    <t>Testing_Options</t>
  </si>
  <si>
    <t>Scenarios</t>
  </si>
  <si>
    <t>Conservative</t>
  </si>
  <si>
    <t>Optimistic</t>
  </si>
  <si>
    <t>G. MC ANCHOR</t>
  </si>
  <si>
    <t>MC_Anchor --&gt;</t>
  </si>
  <si>
    <t>H. Treatment Kinetics</t>
  </si>
  <si>
    <t>NAFC removal rate parameters from Kearl 2022 pilot field data.</t>
  </si>
  <si>
    <t>Model treatment progression and time-to-compliance calculations</t>
  </si>
  <si>
    <t>- Biphasic removal: rapid initial phase (Days 0-15) then slower steady state
- Rates calibrated from Vander Meulen &amp; Headley (2024) GROW presentation</t>
  </si>
  <si>
    <t>Kearl 2022 pilot data - Vander Meulen &amp; Headley GROW presentation</t>
  </si>
  <si>
    <t>tbl_ToxicityMilestones, tbl_Stochastic</t>
  </si>
  <si>
    <t>mg/L</t>
  </si>
  <si>
    <t>Kearl 2022 Day 0 concentration</t>
  </si>
  <si>
    <t>Regulatory threshold for non-toxicity</t>
  </si>
  <si>
    <t>mg/L/day</t>
  </si>
  <si>
    <t>Kearl Days 0-15 (R^2=0.43)</t>
  </si>
  <si>
    <t>Kearl Days 30-69 (R^2=0.50)</t>
  </si>
  <si>
    <t>Duration of rapid removal phase</t>
  </si>
  <si>
    <t>Standard wetland recirculation</t>
  </si>
  <si>
    <t>System_Capacity</t>
  </si>
  <si>
    <t>m3</t>
  </si>
  <si>
    <t>Kearl 4-bay system volume</t>
  </si>
  <si>
    <t>I. Toxicity Milestones</t>
  </si>
  <si>
    <t>Fathead minnow embryo survival endpoints marking treatment progress toward non-toxicity.</t>
  </si>
  <si>
    <t>Define compliance milestones for treatment effectiveness tracking</t>
  </si>
  <si>
    <t>- LC50 at Day 14 marks start of toxicity reduction
- Non-toxic threshold (&gt;90% survival) typically achieved by Day 42</t>
  </si>
  <si>
    <t>Parrott Lab (Burlington) fathead minnow embryo bioassays</t>
  </si>
  <si>
    <t>Milestone</t>
  </si>
  <si>
    <t>Days</t>
  </si>
  <si>
    <t>Survival</t>
  </si>
  <si>
    <t>Day_LC50</t>
  </si>
  <si>
    <t>50%</t>
  </si>
  <si>
    <t>1 recirculation cycle - LC50 threshold</t>
  </si>
  <si>
    <t>Day_80_Survival</t>
  </si>
  <si>
    <t>80-90%</t>
  </si>
  <si>
    <t>2 recirculation cycles</t>
  </si>
  <si>
    <t>Day_Nontoxic</t>
  </si>
  <si>
    <t>&gt;90%</t>
  </si>
  <si>
    <t>3 cycles - equivalent to negative control</t>
  </si>
  <si>
    <t>Value Scenario Definitions</t>
  </si>
  <si>
    <t>Four value streams enabled by biosensor monitoring that HRMS testing cannot capture due to latency constraints.</t>
  </si>
  <si>
    <t>Quantify the annual financial benefit of each operational improvement enabled by real-time monitoring</t>
  </si>
  <si>
    <t>- Values are additive (a single biosensor deployment captures all four simultaneously)
- Base values calibrated from $250K/year total operational value allocation
- Required response days based on operational decision-making windows
- HRMS 42-day latency blocks all scenarios; biosensor 1-day latency enables all</t>
  </si>
  <si>
    <t>Financial Model Framework v2.1 - operational value allocation</t>
  </si>
  <si>
    <t>tbl_ModelScenarios, tbl_GatedValues, tbl_LatencyGating</t>
  </si>
  <si>
    <t>ID</t>
  </si>
  <si>
    <t>Name</t>
  </si>
  <si>
    <t>Base_Value</t>
  </si>
  <si>
    <t>Required_Response_Days</t>
  </si>
  <si>
    <t>S1</t>
  </si>
  <si>
    <t>Season Extension</t>
  </si>
  <si>
    <t>Temperature-based vs calendar shutdown</t>
  </si>
  <si>
    <t>S2</t>
  </si>
  <si>
    <t>Intervention Avoidance</t>
  </si>
  <si>
    <t>Prevented false-positive interventions</t>
  </si>
  <si>
    <t>S3</t>
  </si>
  <si>
    <t>Spatial Routing</t>
  </si>
  <si>
    <t>Route to high-performing cells</t>
  </si>
  <si>
    <t>S4</t>
  </si>
  <si>
    <t>Early Detection</t>
  </si>
  <si>
    <t>Reduced bio-assay costs</t>
  </si>
  <si>
    <t>Model Scenarios</t>
  </si>
  <si>
    <t>Parameter adjustments for conservative, base, and optimistic financial projections.</t>
  </si>
  <si>
    <t>Enable sensitivity analysis by adjusting discount rate, growth rate, and risk factors</t>
  </si>
  <si>
    <t>- Base scenario uses unadjusted parameters from model inputs
- Conservative adds higher discount (+0.4%), lower growth (-2%), higher risk (+10%)
- Optimistic uses lower discount (-0.3%), higher growth (+1%), lower risk (-10%)</t>
  </si>
  <si>
    <t>Standard financial modeling practice - scenario analysis parameters</t>
  </si>
  <si>
    <t>tbl_ValueScenarios, tbl_Sensitivity</t>
  </si>
  <si>
    <t>Discount_Adj</t>
  </si>
  <si>
    <t>Growth_Adj</t>
  </si>
  <si>
    <t>Risk_Adj</t>
  </si>
  <si>
    <t>Monte Carlo Distribution Parameters</t>
  </si>
  <si>
    <t>Triangular Distributions</t>
  </si>
  <si>
    <t>Monte Carlo input parameters using triangular probability distributions for key uncertain variables.</t>
  </si>
  <si>
    <t>Define the uncertainty ranges for stochastic variables that drive value scenario calculations</t>
  </si>
  <si>
    <t>- Triangular distribution selected for interpretability with stakeholders
- Min/Max represent 10th/90th percentile expert estimates, not absolute bounds
- Mode represents the most likely value (base case assumption)
- Variables are assumed independent (no correlation modeled)</t>
  </si>
  <si>
    <t>Expert judgment calibrated against Financial Model Framework v2.1</t>
  </si>
  <si>
    <t>tbl_Stochastic, tbl_GatedValues, tbl_ValueScenarios</t>
  </si>
  <si>
    <t>Variable</t>
  </si>
  <si>
    <t>Min</t>
  </si>
  <si>
    <t>Mode</t>
  </si>
  <si>
    <t>Max</t>
  </si>
  <si>
    <t>Units</t>
  </si>
  <si>
    <t>Season_Extension_Days</t>
  </si>
  <si>
    <t>Extension_Value_Per_Day</t>
  </si>
  <si>
    <t>Interventions_Avoided</t>
  </si>
  <si>
    <t>events</t>
  </si>
  <si>
    <t>Treatment_Rate_Factor</t>
  </si>
  <si>
    <t>multiplier</t>
  </si>
  <si>
    <t>Beta Distributions</t>
  </si>
  <si>
    <t>Monte Carlo input parameters using beta distributions for bounded percentage variables.</t>
  </si>
  <si>
    <t>Model uncertainty in efficiency and probability parameters that must stay within 0-100% bounds</t>
  </si>
  <si>
    <t>- Beta distribution ensures values stay within specified bounds
- Alpha/Beta parameters shape the distribution skewness
- Used for variables that represent percentages or bounded factors</t>
  </si>
  <si>
    <t>Expert judgment for efficiency and probability estimates</t>
  </si>
  <si>
    <t>tbl_Triangular, tbl_Stochastic</t>
  </si>
  <si>
    <t>Alpha</t>
  </si>
  <si>
    <t>Beta</t>
  </si>
  <si>
    <t>Efficiency_Gain</t>
  </si>
  <si>
    <t>%</t>
  </si>
  <si>
    <t>Value Per M3 Sensitivity Frames</t>
  </si>
  <si>
    <t>Alternative value framing approaches for sensitivity analysis and stakeholder communication.</t>
  </si>
  <si>
    <t>Provide multiple perspectives on value per cubic meter of treated water</t>
  </si>
  <si>
    <t>- Operational frame: Direct operational cost savings
- Avoided Treatment frame: Value of alternatives not needed
- ARO Liability frame: Asset retirement obligation cost reduction (Zhang 2026)
- Values are illustrative ranges for framing discussions</t>
  </si>
  <si>
    <t>Zhang (2026) analysis for ARO frame; operational estimates for others</t>
  </si>
  <si>
    <t>tbl_ValueScenarios, tbl_KPIs</t>
  </si>
  <si>
    <t>Frame</t>
  </si>
  <si>
    <t>Low</t>
  </si>
  <si>
    <t>High</t>
  </si>
  <si>
    <t>Context</t>
  </si>
  <si>
    <t>Operational</t>
  </si>
  <si>
    <t>Direct operational benefit</t>
  </si>
  <si>
    <t>Avoided Treatment</t>
  </si>
  <si>
    <t>Alternative treatment costs</t>
  </si>
  <si>
    <t>ARO Liability</t>
  </si>
  <si>
    <t>Zhang (2026) analysis</t>
  </si>
  <si>
    <t>Projection Timeline</t>
  </si>
  <si>
    <t>Understanding the Timeline</t>
  </si>
  <si>
    <t>This sheet generates the projection timeline used throughout the model.
Key outputs:
- Year numbers (1-5) based on Projection_Years setting
- Calendar years starting from Base_Year
- Month indices for seasonal calculations
The timeline drives all time-dependent calculations in sheets 8-15.
Changing Projection_Years or Base_Year in 1_TOC updates this timeline.</t>
  </si>
  <si>
    <t>Year-by-year projection timeline with seasonal month breakdown and learning curve factors.</t>
  </si>
  <si>
    <t>Generate the time dimension for all financial calculations</t>
  </si>
  <si>
    <t>- Projection starts at Base_Year and extends for Projection_Years
- Each year contains 12 months with season flags
- Learning curve multiplier applied from tbl_LearningCurve</t>
  </si>
  <si>
    <t>Generated from 1_TOC control parameters</t>
  </si>
  <si>
    <t>tbl_LearningCurve, tbl_Seasonality, tbl_Annual</t>
  </si>
  <si>
    <t>Year_Index</t>
  </si>
  <si>
    <t>Calendar_Year</t>
  </si>
  <si>
    <t>Discount_Factor</t>
  </si>
  <si>
    <t>Learning_Mult</t>
  </si>
  <si>
    <t>Treatment Kinetics (Kearl 2022)</t>
  </si>
  <si>
    <t>Source: Vander Meulen &amp; Headley (2024) GROW</t>
  </si>
  <si>
    <t>Metric</t>
  </si>
  <si>
    <t>Formula</t>
  </si>
  <si>
    <t>'=Rapid_Phase_Rate * Stoch_TreatmentRate</t>
  </si>
  <si>
    <t>'=Slow_Phase_Rate * Stoch_TreatmentRate</t>
  </si>
  <si>
    <t>'=MAX(0, Initial - Rate * Duration)</t>
  </si>
  <si>
    <t>Two-phase calculation</t>
  </si>
  <si>
    <t>Circulation_Cycles</t>
  </si>
  <si>
    <t>'=CEILING(Days / Cycle, 1)</t>
  </si>
  <si>
    <t>cycles</t>
  </si>
  <si>
    <t>Treatment_Efficiency</t>
  </si>
  <si>
    <t>'=(Initial - Target) / Initial</t>
  </si>
  <si>
    <t>Compliance_Status</t>
  </si>
  <si>
    <t>Achievable within season?</t>
  </si>
  <si>
    <t>status</t>
  </si>
  <si>
    <t>Stochastic Variables</t>
  </si>
  <si>
    <t>(Press F9 to recalculate random draws)</t>
  </si>
  <si>
    <t>Monte Carlo Random Variables</t>
  </si>
  <si>
    <t>This sheet generates random variables for Monte Carlo simulation.
Each variable uses a triangular distribution defined in 5_ServiceModels:
- Min: Worst-case value
- Mode: Most likely value
- Max: Best-case value
The RAND() functions recalculate when you press F9 or Ctrl+Alt+F9.
Sheet 10_Calc_Sim captures 1000 iterations via Excel Data Tables.
Important: These values change on every recalculation. The simulation
statistics (P10, P50, P90) in the Dashboard are calculated from the
1000 captured iterations, not from individual cell values.</t>
  </si>
  <si>
    <t>Random variable generation using triangular distributions for Monte Carlo simulation.</t>
  </si>
  <si>
    <t>Generate stochastic multipliers that vary across simulation iterations</t>
  </si>
  <si>
    <t>- Uses triangular distribution parameters from 5_ServiceModels
- RAND() functions recalculate on spreadsheet refresh
- Values captured by Data Table in 10_Calc_Sim for 1000 iterations</t>
  </si>
  <si>
    <t>Distribution parameters from tbl_Triangular and tbl_Beta</t>
  </si>
  <si>
    <t>tbl_Triangular, tbl_Beta, tbl_GatedValues</t>
  </si>
  <si>
    <t>Random_U</t>
  </si>
  <si>
    <t>Realized_Value</t>
  </si>
  <si>
    <t>Season_Extension</t>
  </si>
  <si>
    <t>Extension_Value</t>
  </si>
  <si>
    <t>Gated Value Calculations</t>
  </si>
  <si>
    <t>Understanding Gated Value Calculations</t>
  </si>
  <si>
    <t>This sheet calculates value that HRMS testing CANNOT capture due to its
42-day latency. Each scenario requires a response faster than HRMS allows.
The "Gating" Logic:
- HRMS has 42-day turnaround from sample to results
- All four scenarios require decisions within 3-14 days
- Therefore, HRMS is always BLOCKED; Biosensor (1-day) is ENABLED
Value Calculation:
- Gated_Value = Base_Value x Stoch_Mult (if ENABLED)
- Gated_Value = $0 (if BLOCKED)
Since the selected Testing_Option is Biosensor (1-day latency), all
scenarios are ENABLED and contribute value. If HRMS were selected,
all would be BLOCKED and total value would be $0.</t>
  </si>
  <si>
    <t>Scenario values after applying latency gating logic and stochastic multipliers.</t>
  </si>
  <si>
    <t>Calculate the actual value captured based on testing option's ability to meet response time requirements</t>
  </si>
  <si>
    <t>- Gate status determined by comparing testing latency to required response time
- ENABLED scenarios: Gated_Value = Base_Value x Stoch_Mult
- BLOCKED scenarios: Gated_Value = $0 (value cannot be captured)
- Stochastic multipliers vary each Monte Carlo iteration</t>
  </si>
  <si>
    <t>Calculated from tbl_ValueScenarios, tbl_LatencyGating, and tbl_Stochastic</t>
  </si>
  <si>
    <t>tbl_ValueScenarios, tbl_LatencyGating, tbl_Stochastic, tbl_ScenarioBreakdown</t>
  </si>
  <si>
    <t>Gate_Status</t>
  </si>
  <si>
    <t>Stoch_Mult</t>
  </si>
  <si>
    <t>Gated_Value</t>
  </si>
  <si>
    <t>S1_Season_Extension</t>
  </si>
  <si>
    <t>S2_Intervention_Avoidance</t>
  </si>
  <si>
    <t>S3_Spatial_Routing</t>
  </si>
  <si>
    <t>S4_Early_Detection</t>
  </si>
  <si>
    <t>Total_Gross_Value</t>
  </si>
  <si>
    <t>Cost Calculations</t>
  </si>
  <si>
    <t>Understanding Cost Calculations</t>
  </si>
  <si>
    <t>This sheet calculates the annual cost of the selected testing approach.
Cost Components:
- Testing frequency: How often samples are taken (daily vs weekly vs monthly)
- Sample points: Number of locations monitored per test event
- Cost per test: Lab analysis cost for HRMS or sensor cost for Biosensor
- Season length: Number of active treatment days per year
Formula: Annual_Cost = (Season_Days / Test_Interval) x Sample_Points x Cost_Per_Test
The testing option parameters come from 3_Assumptions (Test Options table).
Biosensor has higher frequency but much lower cost per test, resulting
in comparable or lower total annual costs with far better data resolution.</t>
  </si>
  <si>
    <t>Cost Calculation</t>
  </si>
  <si>
    <t>Annual testing cost breakdown for the selected monitoring approach.</t>
  </si>
  <si>
    <t>Calculate total cost of testing to include in ROI and NPV calculations</t>
  </si>
  <si>
    <t>- Cost = (Season_Days / Test_Interval) x Sample_Points x Cost_Per_Test
- Parameters looked up from tbl_TestOptions based on selected option</t>
  </si>
  <si>
    <t>Calculated from tbl_TestOptions parameters</t>
  </si>
  <si>
    <t>tbl_TestOptions, tbl_CostParams, tbl_Annual</t>
  </si>
  <si>
    <t>Component</t>
  </si>
  <si>
    <t>Selected_Option</t>
  </si>
  <si>
    <t>Interval_Days</t>
  </si>
  <si>
    <t>INDEX/MATCH</t>
  </si>
  <si>
    <t>Monitoring_Points</t>
  </si>
  <si>
    <t>Events_Per_Season</t>
  </si>
  <si>
    <t>Season_Length / Interval</t>
  </si>
  <si>
    <t>Total_Tests</t>
  </si>
  <si>
    <t>Events * Points</t>
  </si>
  <si>
    <t>Season_Testing_Cost</t>
  </si>
  <si>
    <t>Total_Tests * Cost_Per_Test</t>
  </si>
  <si>
    <t>Monte Carlo Simulation (1000 iterations)</t>
  </si>
  <si>
    <t>Running the Monte Carlo Simulation</t>
  </si>
  <si>
    <t>This sheet captures 1000 iterations using Excel's Data Table feature.
SETUP INSTRUCTIONS:
1. Select the data range A5:I1005 (headers + 1000 rows)
2. Go to Data &gt; What-If Analysis &gt; Data Table
3. Leave "Row input cell" blank
4. For "Column input cell" enter: $K$1 (any blank cell on this sheet)
5. Click OK
HOW IT WORKS:
- Excel recalculates the model 1000 times
- Each row captures one iteration's outputs (NPV, scenario values, costs)
- The Data Table forces RAND() functions to regenerate each iteration
- Results are stored as values, not formulas
RECALCULATING:
- Press Ctrl+Alt+F9 to force full recalculation
- This regenerates all 1000 iterations (may take several seconds)
- Standard F9 only recalculates changed cells
OUTPUT STATISTICS:
- Expected NPV: Mean of 1000 iterations
- P10/P50/P90: Percentile values for confidence intervals
- Prob(NPV&gt;0): Percentage of iterations with positive NPV</t>
  </si>
  <si>
    <t>Select A8:I1008 &gt; Data &gt; What-If Analysis &gt; Data Table</t>
  </si>
  <si>
    <t>Column Input Cell: $K$1 (blank cell on this sheet)</t>
  </si>
  <si>
    <t>Iteration</t>
  </si>
  <si>
    <t>Cost</t>
  </si>
  <si>
    <t>Net</t>
  </si>
  <si>
    <t>Monte Carlo Statistics</t>
  </si>
  <si>
    <t>Expected NPV</t>
  </si>
  <si>
    <t>P10 NPV</t>
  </si>
  <si>
    <t>P50 NPV (Median)</t>
  </si>
  <si>
    <t>P90 NPV</t>
  </si>
  <si>
    <t>StdDev</t>
  </si>
  <si>
    <t>Prob(NPV&gt;0)</t>
  </si>
  <si>
    <t>Treatment Kinetics Statistics</t>
  </si>
  <si>
    <t>Expected Days to Compliance</t>
  </si>
  <si>
    <t>P10 Days (optimistic)</t>
  </si>
  <si>
    <t>P50 Days (median)</t>
  </si>
  <si>
    <t>P90 Days (conservative)</t>
  </si>
  <si>
    <t>Prob(Achievable in Season)</t>
  </si>
  <si>
    <t>Monthly P&amp;L (Placeholder)</t>
  </si>
  <si>
    <t>Monthly P&amp;L View</t>
  </si>
  <si>
    <t>This sheet is a placeholder for future monthly P&amp;L projections.
CURRENT STATUS: Not implemented in this version.
FUTURE USE CASES:
- Monthly cash flow timing for working capital analysis
- Seasonal revenue recognition patterns
- Monthly cost accruals
- Intra-year variance analysis
The model currently uses annual projections (12_PL_Annual) as the
primary financial view. Monthly detail would add complexity without
significant benefit for the current valuation use case.
If monthly detail is needed, the structure should mirror 12_PL_Annual
with columns for each month and rows for:
- Gross Value by scenario
- Testing costs
- Operating expenses
- Net monthly benefit</t>
  </si>
  <si>
    <t>Annual Projections</t>
  </si>
  <si>
    <t>Annual Financial Projections</t>
  </si>
  <si>
    <t>This sheet projects annual value capture over the planning horizon.
KEY CALCULATIONS:
- Gross Value: Sum of gated scenario values from 8_Calc_Value
- Learning Curve: Year 1 at 50%, Year 2 at 75%, Year 3+ at 100%
- Adjusted Value: Gross Value x Learning Curve Multiplier
- Net Value: Adjusted Value - Testing Costs
- NPV: Discounted sum using rate from 1_TOC
LEARNING CURVE RATIONALE:
Year 1 (50%): Pilot learning, process establishment
Year 2 (75%): Initial optimization, expanded coverage
Year 3+ (100%): Full operational maturity, steady state
The learning curve can be adjusted in 3_Assumptions Section D.
Conservative default reflects typical technology adoption patterns.</t>
  </si>
  <si>
    <t>Year-by-year financial projections with learning curve adjustments and NPV calculations.</t>
  </si>
  <si>
    <t>Project multi-year value capture for ROI and NPV analysis</t>
  </si>
  <si>
    <t>- Learning curve applied: Year 1 (50%), Year 2 (75%), Year 3+ (100%)
- Discount rate from 1_TOC applied to all future cash flows
- Testing costs deducted annually based on selected approach</t>
  </si>
  <si>
    <t>Calculated from tbl_GatedValues, tbl_LearningCurve, tbl_CostCalc</t>
  </si>
  <si>
    <t>tbl_GatedValues, tbl_LearningCurve, tbl_CostCalc, tbl_CashFlow</t>
  </si>
  <si>
    <t>S1_Value</t>
  </si>
  <si>
    <t>S2_Value</t>
  </si>
  <si>
    <t>S3_Value</t>
  </si>
  <si>
    <t>S4_Value</t>
  </si>
  <si>
    <t>Gross_Value</t>
  </si>
  <si>
    <t>Costs</t>
  </si>
  <si>
    <t>Net_Annual</t>
  </si>
  <si>
    <t>Discounted</t>
  </si>
  <si>
    <t>Aggregate KPIs</t>
  </si>
  <si>
    <t>NPV_Total</t>
  </si>
  <si>
    <t>Total_Gross_5Yr</t>
  </si>
  <si>
    <t>Total_Net_5Yr</t>
  </si>
  <si>
    <t>Cumulative Cash Flow</t>
  </si>
  <si>
    <t>Cumulative Cash Flow Analysis</t>
  </si>
  <si>
    <t>This sheet tracks cumulative value capture over the projection horizon.
KEY METRICS:
- Cumulative Net: Running total of annual net benefits
- Cumulative NPV: Running total of discounted net benefits
- Payback Point: Year when cumulative value turns positive
USE CASES:
- Determine when investment breaks even
- Assess cash flow timing for capital planning
- Compare cumulative value vs upfront investment
Note: This model assumes no upfront capital investment for the
biosensor system (included in testing costs). For scenarios with
capital expenditure, add an initial investment row and adjust
payback calculations accordingly.</t>
  </si>
  <si>
    <t>Cash Flow Summary</t>
  </si>
  <si>
    <t>Cumulative cash flow and NPV tracking for payback analysis.</t>
  </si>
  <si>
    <t>Track when cumulative value exceeds investment for breakeven analysis</t>
  </si>
  <si>
    <t>- No upfront capital investment assumed (costs included in testing)
- Annual net values from tbl_Annual
- Cumulative NPV used for total project value</t>
  </si>
  <si>
    <t>Calculated from tbl_Annual</t>
  </si>
  <si>
    <t>tbl_Annual, tbl_KPIs</t>
  </si>
  <si>
    <t>Annual_Net</t>
  </si>
  <si>
    <t>Cumulative_Net</t>
  </si>
  <si>
    <t>Cumulative_NPV</t>
  </si>
  <si>
    <t>Unit Economics</t>
  </si>
  <si>
    <t>Per-Cubic-Meter Economics</t>
  </si>
  <si>
    <t>This sheet expresses all values on a per-m3 basis for comparability.
WHY UNIT ECONOMICS MATTER:
- Allows comparison across different site sizes
- Enables scaling estimates to new deployments
- Provides intuitive metrics for operator discussions
- Connects to industry benchmarks (treatment costs, ARO liabilities)
KEY METRICS:
- Value per m3: Total value divided by annual throughput
- Cost per m3: Testing cost divided by throughput
- Net per m3: Value minus cost per unit volume
- NPV per m3: 5-year NPV divided by total 5-year throughput
BENCHMARKS (from 2_Instructions):
- Operational value: $3-8/m3 (this model's output)
- Avoided treatment: $10-30/m3 (alternative treatment costs)
- ARO liability: $21-93/m3 (Zhang 2026 analysis)
The biosensor's value per m3 can be compared against these benchmarks
to understand its contribution relative to the total value stack.</t>
  </si>
  <si>
    <t>Per-cubic-meter economics for cross-site comparability and scaling estimates.</t>
  </si>
  <si>
    <t>Express all values on per-m3 basis for benchmarking and scaling</t>
  </si>
  <si>
    <t>- Annual throughput from tbl_SiteConfig used as denominator
- NPV values divided by 5-year total throughput
- Benchmarks from industry data and Zhang (2026) analysis</t>
  </si>
  <si>
    <t>Calculated from model outputs and 3_Assumptions throughput</t>
  </si>
  <si>
    <t>tbl_SiteConfig, tbl_Annual, tbl_KPIs</t>
  </si>
  <si>
    <t>Annual Throughput</t>
  </si>
  <si>
    <t>From 3_Assumptions</t>
  </si>
  <si>
    <t>Gross Value per Season</t>
  </si>
  <si>
    <t>Sum of S1-S4</t>
  </si>
  <si>
    <t>Testing Cost per Season</t>
  </si>
  <si>
    <t>Based on option selected</t>
  </si>
  <si>
    <t>Net Value per Season</t>
  </si>
  <si>
    <t>Gross - Testing</t>
  </si>
  <si>
    <t>Value per m3 (Gross)</t>
  </si>
  <si>
    <t>Gross / Throughput</t>
  </si>
  <si>
    <t>Value per m3 (Net)</t>
  </si>
  <si>
    <t>Net / Throughput</t>
  </si>
  <si>
    <t>Cost per m3</t>
  </si>
  <si>
    <t>Testing / Throughput</t>
  </si>
  <si>
    <t>5-Year NPV per m3</t>
  </si>
  <si>
    <t>NPV / (5yr throughput)</t>
  </si>
  <si>
    <t>Breakeven Analysis</t>
  </si>
  <si>
    <t>Testing cost per test:</t>
  </si>
  <si>
    <t>Tests per season:</t>
  </si>
  <si>
    <t>Value per test (net):</t>
  </si>
  <si>
    <t>Sensitivity Analysis</t>
  </si>
  <si>
    <t>Tornado Sensitivity Analysis</t>
  </si>
  <si>
    <t>This sheet shows how NPV changes when individual parameters vary.
METHODOLOGY:
- Each parameter is varied from Low to High while others stay at Base
- NPV is calculated at each extreme
- "Swing" = |NPV_at_High - NPV_at_Low| measures parameter influence
- Parameters are sorted by Swing (largest impact first)
INTERPRETATION:
- Parameters at top of tornado have most influence on outcomes
- Focus validation efforts on high-sensitivity parameters
- Parameters with low swing are less critical to model accuracy
KEY PARAMETERS TESTED:
- Value_Per_M3: Direct impact on operational value
- Annual_Throughput: Volume scaling factor
- Treatment_Rate_Factor: Kinetics uncertainty
- Discount_Rate: Time value of money
- Season_Length: Active treatment period
LIMITATIONS:
- One-at-a-time analysis ignores parameter correlations
- Monte Carlo simulation (10_Calc_Sim) captures joint uncertainty
- Use tornado for directional insight, MC for quantified risk</t>
  </si>
  <si>
    <t>Tornado chart data showing NPV impact when each parameter varies from low to high.</t>
  </si>
  <si>
    <t>Identify which parameters most influence outcomes for validation focus</t>
  </si>
  <si>
    <t>- One-at-a-time analysis: each parameter varied while others at base
- Swing = |NPV_at_High - NPV_at_Low| measures parameter influence
- Parameters sorted by swing (largest impact first)</t>
  </si>
  <si>
    <t>Calculated by evaluating NPV at parameter bounds</t>
  </si>
  <si>
    <t>tbl_Triangular, tbl_SiteConfig, tbl_KPIs</t>
  </si>
  <si>
    <t>NPV_at_Low</t>
  </si>
  <si>
    <t>NPV_at_High</t>
  </si>
  <si>
    <t>Swing</t>
  </si>
  <si>
    <t>Value_Per_M3</t>
  </si>
  <si>
    <t>Wetland_Area</t>
  </si>
  <si>
    <t>Methodology</t>
  </si>
  <si>
    <t>Proportional parameters: NPV scales linearly with parameter ratio (Low/Base, High/Base)</t>
  </si>
  <si>
    <t>Discount Rate: Uses time-value adjustment formula NPV * ((1+Base)/(1+Rate))^2.5</t>
  </si>
  <si>
    <t>Note: These are first-order approximations. For precise sensitivity, use Monte Carlo.</t>
  </si>
  <si>
    <t>Tornado Chart</t>
  </si>
  <si>
    <t>1. Select Parameter and Swing columns (A4:A8, G4:G8)</t>
  </si>
  <si>
    <t>2. Insert -&gt; Chart -&gt; Bar Chart (horizontal)</t>
  </si>
  <si>
    <t>3. Sort data by Swing descending for tornado effect</t>
  </si>
  <si>
    <t>Executive Dashboard</t>
  </si>
  <si>
    <t>Key Results Summary</t>
  </si>
  <si>
    <t>This dashboard presents the key outputs from the Monte Carlo simulation.
PRIMARY METRICS:
- Expected NPV: Mean of 1000 simulation iterations
- P10/P50/P90: Confidence interval bounds
- Probability NPV &gt; 0: Likelihood of positive outcome
INTERPRETATION GUIDE:
- P10 = "Pessimistic but plausible" (10% of outcomes are worse)
- P50 = Median outcome (equally likely to be higher or lower)
- P90 = "Optimistic but plausible" (10% of outcomes are better)
A narrow P10-P90 range indicates low uncertainty.
P10 &gt; 0 means even pessimistic scenarios show positive value.
REFRESH DATA:
Press Ctrl+Alt+F9 to regenerate all 1000 Monte Carlo iterations.
Dashboard values update automatically.</t>
  </si>
  <si>
    <t>Key Performance Indicators</t>
  </si>
  <si>
    <t>Primary Monte Carlo simulation outputs and financial metrics for executive decision-making.</t>
  </si>
  <si>
    <t>Provide at-a-glance summary of biosensor investment value and risk profile</t>
  </si>
  <si>
    <t>- NPV calculated over 5-year horizon with 7% discount rate
- P10/P50/P90 derived from 1000 Monte Carlo iterations
- All metrics assume Daily Biosensor as selected testing option
- Values refresh when Monte Carlo simulation is recalculated</t>
  </si>
  <si>
    <t>Calculated from 10_Calc_Sim Monte Carlo simulation results</t>
  </si>
  <si>
    <t>tbl_ScenarioBreakdown, tbl_Annual, tbl_CashFlow</t>
  </si>
  <si>
    <t>Selected Testing Option</t>
  </si>
  <si>
    <t>Expected NPV (5-Year)</t>
  </si>
  <si>
    <t>Monte Carlo P10</t>
  </si>
  <si>
    <t>Monte Carlo P50</t>
  </si>
  <si>
    <t>Monte Carlo P90</t>
  </si>
  <si>
    <t>Probability NPV &gt; 0</t>
  </si>
  <si>
    <t>Annual Testing Cost</t>
  </si>
  <si>
    <t>Year 1 Gross Value</t>
  </si>
  <si>
    <t>Year 1 Net Value</t>
  </si>
  <si>
    <t>Scenario Value Breakdown</t>
  </si>
  <si>
    <t>Individual scenario contributions to total gated value with gate status.</t>
  </si>
  <si>
    <t>Show which value scenarios are captured by the selected testing option</t>
  </si>
  <si>
    <t>- Gate status determined by testing latency vs required response time
- ENABLED means testing latency allows capturing this value
- BLOCKED means testing latency prevents capturing this value
- Values are stochastic and vary with each Monte Carlo iteration</t>
  </si>
  <si>
    <t>Calculated from 8_Calc_Value gating logic and stochastic multipliers</t>
  </si>
  <si>
    <t>tbl_KPIs, tbl_ValueScenarios, tbl_GatedValues</t>
  </si>
  <si>
    <t>Status</t>
  </si>
  <si>
    <t>NAFC degradation parameters and Monte Carlo treatment time estimates.</t>
  </si>
  <si>
    <t>Validate that biosensor-enabled treatment achieves regulatory compliance within season</t>
  </si>
  <si>
    <t>- Based on Kearl (2022) first-order kinetics model for NAFC degradation
- Initial/target NAFC concentrations from site characterization data
- Treatment rate factor varies stochastically (0.7-1.3 multiplier)
- Season length constraint of 120 days for Alberta operations</t>
  </si>
  <si>
    <t>Kearl (2022) wetland treatment kinetics research</t>
  </si>
  <si>
    <t>tbl_KPIs, tbl_Triangular, tbl_TreatmentKinetics</t>
  </si>
  <si>
    <t>Initial NAFC Concentration</t>
  </si>
  <si>
    <t>Target NAFC Concentration</t>
  </si>
  <si>
    <t>"-"</t>
  </si>
  <si>
    <t>Days to Regulatory Compliance</t>
  </si>
  <si>
    <t>Circulation Cycles Required</t>
  </si>
  <si>
    <t>Treatment Efficiency</t>
  </si>
  <si>
    <t>MC Expected Days</t>
  </si>
  <si>
    <t>MC P90 Days (conservative)</t>
  </si>
  <si>
    <t>MC Prob(Achievable)</t>
  </si>
  <si>
    <t>Testing Option Comparison</t>
  </si>
  <si>
    <t>Side-by-side comparison of gate status and value across all testing options.</t>
  </si>
  <si>
    <t>Demonstrate the value differential between HRMS and biosensor testing approaches</t>
  </si>
  <si>
    <t>- Monthly HRMS: 42-day turnaround, $60K/season
- Weekly HRMS: 42-day turnaround, $28.6K/season
- Daily Biosensor: 1-day turnaround, $10K/season
- Gate status determined by latency vs required response time</t>
  </si>
  <si>
    <t>Testing cost quotes and operational latency measurements</t>
  </si>
  <si>
    <t>tbl_KPIs, tbl_TestOptions, tbl_LatencyGating</t>
  </si>
  <si>
    <t>S1 Gate</t>
  </si>
  <si>
    <t>S2 Gate</t>
  </si>
  <si>
    <t>S3 Gate</t>
  </si>
  <si>
    <t>S4 Gate</t>
  </si>
  <si>
    <t>Testing Cost/Season</t>
  </si>
  <si>
    <t>$60,000</t>
  </si>
  <si>
    <t>$28,571</t>
  </si>
  <si>
    <t>$10,000</t>
  </si>
  <si>
    <t>Potential 5-Year NPV</t>
  </si>
  <si>
    <t>-$29k</t>
  </si>
  <si>
    <t>$180k</t>
  </si>
  <si>
    <t>$1.1M+</t>
  </si>
  <si>
    <t>Model Health</t>
  </si>
  <si>
    <t>Check Status:</t>
  </si>
  <si>
    <t>Errors Found:</t>
  </si>
  <si>
    <t>Model Validation Checks</t>
  </si>
  <si>
    <t>Model Integrity Checks</t>
  </si>
  <si>
    <t>This sheet validates model inputs and calculations.
CHECK CATEGORIES:
- Range: Input values within acceptable bounds
- Consistency: Related inputs are logically consistent
- Sanity: Output values are reasonable
- Integrity: Calculations produce expected results
INTERPRETING RESULTS:
- PASS: Check passed, no action needed
- FAIL: Issue detected, review the referenced input/output
WHAT TO DO IF CHECKS FAIL:
1. Note which check(s) failed
2. Review the description to understand the issue
3. Navigate to the relevant input (usually 1_TOC or 3_Assumptions)
4. Adjust values to bring them within valid ranges
5. Return here to confirm PASS status
AUTOMATED MONITORING:
The 0_Cover sheet shows overall model health status.
Any FAIL here will trigger the "Review 17_Checks" warning.</t>
  </si>
  <si>
    <t>Automated validation rules that verify model inputs and outputs are within acceptable ranges.</t>
  </si>
  <si>
    <t>Ensure model integrity by detecting invalid inputs, inconsistent parameters, and unreasonable outputs</t>
  </si>
  <si>
    <t>- Range checks based on reasonable operational bounds
- Sanity checks based on expected order-of-magnitude for outputs
- Consistency checks ensure related parameters are logically coherent
- PASS/FAIL status updates automatically when inputs change</t>
  </si>
  <si>
    <t>Validation rules based on domain expertise and operational constraints</t>
  </si>
  <si>
    <t>tbl_Control, tbl_KPIs, tbl_ValueScenarios</t>
  </si>
  <si>
    <t>Check_ID</t>
  </si>
  <si>
    <t>Category</t>
  </si>
  <si>
    <t>CHK001</t>
  </si>
  <si>
    <t>Range</t>
  </si>
  <si>
    <t>Discount rate between 0-15%</t>
  </si>
  <si>
    <t>CHK002</t>
  </si>
  <si>
    <t>Season length between 60-150 days</t>
  </si>
  <si>
    <t>CHK003</t>
  </si>
  <si>
    <t>Projection years between 1-10</t>
  </si>
  <si>
    <t>CHK004</t>
  </si>
  <si>
    <t>Value per M3 positive</t>
  </si>
  <si>
    <t>CHK005</t>
  </si>
  <si>
    <t>Logic</t>
  </si>
  <si>
    <t>Testing option valid</t>
  </si>
  <si>
    <t>CHK006</t>
  </si>
  <si>
    <t>Scenario selection valid</t>
  </si>
  <si>
    <t>CHK007</t>
  </si>
  <si>
    <t>Sanity</t>
  </si>
  <si>
    <t>NPV within reasonable bounds</t>
  </si>
  <si>
    <t>CHK008</t>
  </si>
  <si>
    <t>Testing cost positive</t>
  </si>
  <si>
    <t>CHK009</t>
  </si>
  <si>
    <t>Gross value non-negative</t>
  </si>
  <si>
    <t>CHK010</t>
  </si>
  <si>
    <t>Integrity</t>
  </si>
  <si>
    <t>All named ranges defined</t>
  </si>
  <si>
    <t>CHK011</t>
  </si>
  <si>
    <t>Initial NAFC in range (40-100 mg/L)</t>
  </si>
  <si>
    <t>CHK012</t>
  </si>
  <si>
    <t>Target NAFC &lt; Initial NAFC</t>
  </si>
  <si>
    <t>CHK013</t>
  </si>
  <si>
    <t>Days to compliance &lt;= season length</t>
  </si>
  <si>
    <t>CHK014</t>
  </si>
  <si>
    <t>Treatment rates positive</t>
  </si>
  <si>
    <t>Total Checks:</t>
  </si>
  <si>
    <t>Passed:</t>
  </si>
  <si>
    <t>Failed:</t>
  </si>
  <si>
    <t>Model Health: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</si>
</sst>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%"/>
    <numFmt numFmtId="166" formatCode="\$#,##0.00"/>
    <numFmt numFmtId="167" formatCode="\$#,##0"/>
    <numFmt numFmtId="168" formatCode="0.000"/>
    <numFmt numFmtId="169" formatCode="0.0"/>
    <numFmt numFmtId="170" formatCode="0.0\ &quot;mg/L&quot;"/>
    <numFmt numFmtId="171" formatCode="0.0\ &quot;days&quot;"/>
  </numFmts>
  <fonts count="13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i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0"/>
      <color rgb="FF666666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1F4E79"/>
      <name val="Calibri"/>
      <family val="2"/>
    </font>
    <font>
      <i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FFF99"/>
        <bgColor rgb="FFFFFF99"/>
      </patternFill>
    </fill>
    <fill>
      <patternFill patternType="solid">
        <fgColor rgb="FFDEEAF6"/>
        <bgColor rgb="FFDEEAF6"/>
      </patternFill>
    </fill>
  </fills>
  <borders count="4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vertical="top"/>
    </xf>
    <xf numFmtId="0" fontId="8" fillId="3" borderId="0" xfId="0" applyFont="1" applyFill="1"/>
    <xf numFmtId="0" fontId="0" fillId="4" borderId="0" xfId="0" applyFill="1"/>
    <xf numFmtId="165" fontId="0" fillId="4" borderId="0" xfId="0" applyNumberFormat="1" applyFill="1"/>
    <xf numFmtId="0" fontId="9" fillId="0" borderId="0" xfId="0" applyFont="1"/>
    <xf numFmtId="0" fontId="10" fillId="0" borderId="0" xfId="0" applyFont="1"/>
    <xf numFmtId="166" fontId="0" fillId="4" borderId="0" xfId="0" applyNumberFormat="1" applyFill="1"/>
    <xf numFmtId="167" fontId="0" fillId="4" borderId="0" xfId="0" applyNumberFormat="1" applyFill="1"/>
    <xf numFmtId="167" fontId="0" fillId="0" borderId="0" xfId="0" applyNumberFormat="1"/>
    <xf numFmtId="168" fontId="0" fillId="4" borderId="0" xfId="0" applyNumberFormat="1" applyFill="1"/>
    <xf numFmtId="0" fontId="12" fillId="0" borderId="0" xfId="0" applyFon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1" fontId="0" fillId="0" borderId="0" xfId="0" applyNumberFormat="1"/>
    <xf numFmtId="165" fontId="0" fillId="0" borderId="0" xfId="0" applyNumberFormat="1"/>
    <xf numFmtId="167" fontId="9" fillId="0" borderId="0" xfId="0" applyNumberFormat="1" applyFont="1"/>
    <xf numFmtId="166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7" fillId="2" borderId="0" xfId="0" applyFont="1" applyFill="1" applyAlignment="1">
      <alignment vertical="top" wrapText="1"/>
    </xf>
    <xf numFmtId="0" fontId="0" fillId="0" borderId="0" xfId="0"/>
    <xf numFmtId="0" fontId="0" fillId="5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ntrol" displayName="tbl_Control" ref="A9:D14">
  <autoFilter ref="A9:D14" xr:uid="{00000000-0009-0000-0100-000001000000}"/>
  <tableColumns count="4">
    <tableColumn id="1" xr3:uid="{00000000-0010-0000-0000-000001000000}" name="Parameter"/>
    <tableColumn id="2" xr3:uid="{00000000-0010-0000-0000-000002000000}" name="Value"/>
    <tableColumn id="3" xr3:uid="{00000000-0010-0000-0000-000003000000}" name="Validation"/>
    <tableColumn id="4" xr3:uid="{00000000-0010-0000-0000-000004000000}" name="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nputMap" displayName="tbl_InputMap" ref="A4:D34">
  <autoFilter ref="A4:D34" xr:uid="{00000000-0009-0000-0100-000002000000}"/>
  <tableColumns count="4">
    <tableColumn id="1" xr3:uid="{00000000-0010-0000-0100-000001000000}" name="Input Name"/>
    <tableColumn id="2" xr3:uid="{00000000-0010-0000-0100-000002000000}" name="Value"/>
    <tableColumn id="3" xr3:uid="{00000000-0010-0000-0100-000003000000}" name="Source Sheet"/>
    <tableColumn id="4" xr3:uid="{00000000-0010-0000-0100-000004000000}" name="Referenced B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iming" displayName="tbl_Timing" ref="A9:E14">
  <autoFilter ref="A9:E14" xr:uid="{00000000-0009-0000-0100-000003000000}"/>
  <tableColumns count="5">
    <tableColumn id="1" xr3:uid="{00000000-0010-0000-0200-000001000000}" name="Parameter"/>
    <tableColumn id="2" xr3:uid="{00000000-0010-0000-0200-000002000000}" name="Value"/>
    <tableColumn id="3" xr3:uid="{00000000-0010-0000-0200-000003000000}" name="Unit"/>
    <tableColumn id="4" xr3:uid="{00000000-0010-0000-0200-000004000000}" name="Notes"/>
    <tableColumn id="5" xr3:uid="{00000000-0010-0000-0200-000005000000}" name="Referenced B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easonality" displayName="tbl_Seasonality" ref="A22:D27">
  <autoFilter ref="A22:D27" xr:uid="{00000000-0009-0000-0100-000004000000}"/>
  <tableColumns count="4">
    <tableColumn id="1" xr3:uid="{00000000-0010-0000-0300-000001000000}" name="Month"/>
    <tableColumn id="2" xr3:uid="{00000000-0010-0000-0300-000002000000}" name="Month_Num"/>
    <tableColumn id="3" xr3:uid="{00000000-0010-0000-0300-000003000000}" name="Multiplier"/>
    <tableColumn id="4" xr3:uid="{00000000-0010-0000-0300-000004000000}" name="Activ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iteConfig" displayName="tbl_SiteConfig" ref="A36:E40">
  <autoFilter ref="A36:E40" xr:uid="{00000000-0009-0000-0100-000005000000}"/>
  <tableColumns count="5">
    <tableColumn id="1" xr3:uid="{00000000-0010-0000-0400-000001000000}" name="Parameter"/>
    <tableColumn id="2" xr3:uid="{00000000-0010-0000-0400-000002000000}" name="Value"/>
    <tableColumn id="3" xr3:uid="{00000000-0010-0000-0400-000003000000}" name="Unit"/>
    <tableColumn id="4" xr3:uid="{00000000-0010-0000-0400-000004000000}" name="Source"/>
    <tableColumn id="5" xr3:uid="{00000000-0010-0000-0400-000005000000}" name="Referenced B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ostParams" displayName="tbl_CostParams" ref="A49:D52">
  <autoFilter ref="A49:D52" xr:uid="{00000000-0009-0000-0100-000006000000}"/>
  <tableColumns count="4">
    <tableColumn id="1" xr3:uid="{00000000-0010-0000-0500-000001000000}" name="Parameter"/>
    <tableColumn id="2" xr3:uid="{00000000-0010-0000-0500-000002000000}" name="Value"/>
    <tableColumn id="3" xr3:uid="{00000000-0010-0000-0500-000003000000}" name="Unit"/>
    <tableColumn id="4" xr3:uid="{00000000-0010-0000-0500-000004000000}" name="Referenced B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LearningCurve" displayName="tbl_LearningCurve" ref="A61:D66">
  <autoFilter ref="A61:D66" xr:uid="{00000000-0009-0000-0100-000007000000}"/>
  <tableColumns count="4">
    <tableColumn id="1" xr3:uid="{00000000-0010-0000-0600-000001000000}" name="Year"/>
    <tableColumn id="2" xr3:uid="{00000000-0010-0000-0600-000002000000}" name="Multiplier"/>
    <tableColumn id="3" xr3:uid="{00000000-0010-0000-0600-000003000000}" name="Notes"/>
    <tableColumn id="4" xr3:uid="{00000000-0010-0000-0600-000004000000}" name="Referenced B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TestOptions" displayName="tbl_TestOptions" ref="A75:G78">
  <autoFilter ref="A75:G78" xr:uid="{00000000-0009-0000-0100-000008000000}"/>
  <tableColumns count="7">
    <tableColumn id="1" xr3:uid="{00000000-0010-0000-0700-000001000000}" name="Option"/>
    <tableColumn id="2" xr3:uid="{00000000-0010-0000-0700-000002000000}" name="Method"/>
    <tableColumn id="3" xr3:uid="{00000000-0010-0000-0700-000003000000}" name="Interval"/>
    <tableColumn id="4" xr3:uid="{00000000-0010-0000-0700-000004000000}" name="Points"/>
    <tableColumn id="5" xr3:uid="{00000000-0010-0000-0700-000005000000}" name="Cost_Per_Test"/>
    <tableColumn id="6" xr3:uid="{00000000-0010-0000-0700-000006000000}" name="Latency_Days"/>
    <tableColumn id="7" xr3:uid="{00000000-0010-0000-0700-000007000000}" name="Referenced B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LatencyGating" displayName="tbl_LatencyGating" ref="A86:E89">
  <autoFilter ref="A86:E89" xr:uid="{00000000-0009-0000-0100-000009000000}"/>
  <tableColumns count="5">
    <tableColumn id="1" xr3:uid="{00000000-0010-0000-0800-000001000000}" name="Option"/>
    <tableColumn id="2" xr3:uid="{00000000-0010-0000-0800-000002000000}" name="S1_Gate"/>
    <tableColumn id="3" xr3:uid="{00000000-0010-0000-0800-000003000000}" name="S2_Gate"/>
    <tableColumn id="4" xr3:uid="{00000000-0010-0000-0800-000004000000}" name="S3_Gate"/>
    <tableColumn id="5" xr3:uid="{00000000-0010-0000-0800-000005000000}" name="S4_Gat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TreatmentKinetics" displayName="tbl_TreatmentKinetics" ref="A107:E114">
  <autoFilter ref="A107:E114" xr:uid="{00000000-0009-0000-0100-00000A000000}"/>
  <tableColumns count="5">
    <tableColumn id="1" xr3:uid="{00000000-0010-0000-0900-000001000000}" name="Parameter"/>
    <tableColumn id="2" xr3:uid="{00000000-0010-0000-0900-000002000000}" name="Value"/>
    <tableColumn id="3" xr3:uid="{00000000-0010-0000-0900-000003000000}" name="Unit"/>
    <tableColumn id="4" xr3:uid="{00000000-0010-0000-0900-000004000000}" name="Notes"/>
    <tableColumn id="5" xr3:uid="{00000000-0010-0000-0900-000005000000}" name="Referenced B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oxicityMilestones" displayName="tbl_ToxicityMilestones" ref="A123:D126">
  <autoFilter ref="A123:D126" xr:uid="{00000000-0009-0000-0100-00000B000000}"/>
  <tableColumns count="4">
    <tableColumn id="1" xr3:uid="{00000000-0010-0000-0A00-000001000000}" name="Milestone"/>
    <tableColumn id="2" xr3:uid="{00000000-0010-0000-0A00-000002000000}" name="Days"/>
    <tableColumn id="3" xr3:uid="{00000000-0010-0000-0A00-000003000000}" name="Survival"/>
    <tableColumn id="4" xr3:uid="{00000000-0010-0000-0A00-000004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ValueScenarios" displayName="tbl_ValueScenarios" ref="A9:E13">
  <autoFilter ref="A9:E13" xr:uid="{00000000-0009-0000-0100-00000C000000}"/>
  <tableColumns count="5">
    <tableColumn id="1" xr3:uid="{00000000-0010-0000-0B00-000001000000}" name="ID"/>
    <tableColumn id="2" xr3:uid="{00000000-0010-0000-0B00-000002000000}" name="Name"/>
    <tableColumn id="3" xr3:uid="{00000000-0010-0000-0B00-000003000000}" name="Base_Value"/>
    <tableColumn id="4" xr3:uid="{00000000-0010-0000-0B00-000004000000}" name="Required_Response_Days"/>
    <tableColumn id="5" xr3:uid="{00000000-0010-0000-0B00-000005000000}" name="Descrip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ModelScenarios" displayName="tbl_ModelScenarios" ref="A22:D25">
  <autoFilter ref="A22:D25" xr:uid="{00000000-0009-0000-0100-00000D000000}"/>
  <tableColumns count="4">
    <tableColumn id="1" xr3:uid="{00000000-0010-0000-0C00-000001000000}" name="Scenario"/>
    <tableColumn id="2" xr3:uid="{00000000-0010-0000-0C00-000002000000}" name="Discount_Adj"/>
    <tableColumn id="3" xr3:uid="{00000000-0010-0000-0C00-000003000000}" name="Growth_Adj"/>
    <tableColumn id="4" xr3:uid="{00000000-0010-0000-0C00-000004000000}" name="Risk_Adj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Triangular" displayName="tbl_Triangular" ref="A9:F13">
  <autoFilter ref="A9:F13" xr:uid="{00000000-0009-0000-0100-00000E000000}"/>
  <tableColumns count="6">
    <tableColumn id="1" xr3:uid="{00000000-0010-0000-0D00-000001000000}" name="Variable"/>
    <tableColumn id="2" xr3:uid="{00000000-0010-0000-0D00-000002000000}" name="Min"/>
    <tableColumn id="3" xr3:uid="{00000000-0010-0000-0D00-000003000000}" name="Mode"/>
    <tableColumn id="4" xr3:uid="{00000000-0010-0000-0D00-000004000000}" name="Max"/>
    <tableColumn id="5" xr3:uid="{00000000-0010-0000-0D00-000005000000}" name="Units"/>
    <tableColumn id="6" xr3:uid="{00000000-0010-0000-0D00-000006000000}" name="Referenced B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Beta" displayName="tbl_Beta" ref="A22:G23">
  <autoFilter ref="A22:G23" xr:uid="{00000000-0009-0000-0100-00000F000000}"/>
  <tableColumns count="7">
    <tableColumn id="1" xr3:uid="{00000000-0010-0000-0E00-000001000000}" name="Variable"/>
    <tableColumn id="2" xr3:uid="{00000000-0010-0000-0E00-000002000000}" name="Alpha"/>
    <tableColumn id="3" xr3:uid="{00000000-0010-0000-0E00-000003000000}" name="Beta"/>
    <tableColumn id="4" xr3:uid="{00000000-0010-0000-0E00-000004000000}" name="Min"/>
    <tableColumn id="5" xr3:uid="{00000000-0010-0000-0E00-000005000000}" name="Max"/>
    <tableColumn id="6" xr3:uid="{00000000-0010-0000-0E00-000006000000}" name="Units"/>
    <tableColumn id="7" xr3:uid="{00000000-0010-0000-0E00-000007000000}" name="Referenced B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ValueSensitivity" displayName="tbl_ValueSensitivity" ref="A32:E35">
  <autoFilter ref="A32:E35" xr:uid="{00000000-0009-0000-0100-000010000000}"/>
  <tableColumns count="5">
    <tableColumn id="1" xr3:uid="{00000000-0010-0000-0F00-000001000000}" name="Frame"/>
    <tableColumn id="2" xr3:uid="{00000000-0010-0000-0F00-000002000000}" name="Low"/>
    <tableColumn id="3" xr3:uid="{00000000-0010-0000-0F00-000003000000}" name="Base"/>
    <tableColumn id="4" xr3:uid="{00000000-0010-0000-0F00-000004000000}" name="High"/>
    <tableColumn id="5" xr3:uid="{00000000-0010-0000-0F00-000005000000}" name="Context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Timeline" displayName="tbl_Timeline" ref="A12:E18">
  <autoFilter ref="A12:E18" xr:uid="{00000000-0009-0000-0100-000011000000}"/>
  <tableColumns count="5">
    <tableColumn id="1" xr3:uid="{00000000-0010-0000-1000-000001000000}" name="Year_Index"/>
    <tableColumn id="2" xr3:uid="{00000000-0010-0000-1000-000002000000}" name="Calendar_Year"/>
    <tableColumn id="3" xr3:uid="{00000000-0010-0000-1000-000003000000}" name="Treatment_Days"/>
    <tableColumn id="4" xr3:uid="{00000000-0010-0000-1000-000004000000}" name="Discount_Factor"/>
    <tableColumn id="5" xr3:uid="{00000000-0010-0000-1000-000005000000}" name="Learning_Mult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Stochastic" displayName="tbl_Stochastic" ref="A13:C18">
  <autoFilter ref="A13:C18" xr:uid="{00000000-0009-0000-0100-000012000000}"/>
  <tableColumns count="3">
    <tableColumn id="1" xr3:uid="{00000000-0010-0000-1100-000001000000}" name="Variable"/>
    <tableColumn id="2" xr3:uid="{00000000-0010-0000-1100-000002000000}" name="Random_U"/>
    <tableColumn id="3" xr3:uid="{00000000-0010-0000-1100-000003000000}" name="Realized_Valu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GatedValues" displayName="tbl_GatedValues" ref="A12:E16">
  <autoFilter ref="A12:E16" xr:uid="{00000000-0009-0000-0100-000013000000}"/>
  <tableColumns count="5">
    <tableColumn id="1" xr3:uid="{00000000-0010-0000-1200-000001000000}" name="Scenario"/>
    <tableColumn id="2" xr3:uid="{00000000-0010-0000-1200-000002000000}" name="Base_Value"/>
    <tableColumn id="3" xr3:uid="{00000000-0010-0000-1200-000003000000}" name="Gate_Status"/>
    <tableColumn id="4" xr3:uid="{00000000-0010-0000-1200-000004000000}" name="Stoch_Mult"/>
    <tableColumn id="5" xr3:uid="{00000000-0010-0000-1200-000005000000}" name="Gated_Valu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CostCalc" displayName="tbl_CostCalc" ref="A12:C19">
  <autoFilter ref="A12:C19" xr:uid="{00000000-0009-0000-0100-000014000000}"/>
  <tableColumns count="3">
    <tableColumn id="1" xr3:uid="{00000000-0010-0000-1300-000001000000}" name="Component"/>
    <tableColumn id="2" xr3:uid="{00000000-0010-0000-1300-000002000000}" name="Formula"/>
    <tableColumn id="3" xr3:uid="{00000000-0010-0000-1300-000003000000}" name="Valu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Annual" displayName="tbl_Annual" ref="A12:J17">
  <autoFilter ref="A12:J17" xr:uid="{00000000-0009-0000-0100-000015000000}"/>
  <tableColumns count="10">
    <tableColumn id="1" xr3:uid="{00000000-0010-0000-1400-000001000000}" name="Year"/>
    <tableColumn id="2" xr3:uid="{00000000-0010-0000-1400-000002000000}" name="S1_Value"/>
    <tableColumn id="3" xr3:uid="{00000000-0010-0000-1400-000003000000}" name="S2_Value"/>
    <tableColumn id="4" xr3:uid="{00000000-0010-0000-1400-000004000000}" name="S3_Value"/>
    <tableColumn id="5" xr3:uid="{00000000-0010-0000-1400-000005000000}" name="S4_Value"/>
    <tableColumn id="6" xr3:uid="{00000000-0010-0000-1400-000006000000}" name="Gross_Value"/>
    <tableColumn id="7" xr3:uid="{00000000-0010-0000-1400-000007000000}" name="Costs"/>
    <tableColumn id="8" xr3:uid="{00000000-0010-0000-1400-000008000000}" name="Net_Annual"/>
    <tableColumn id="9" xr3:uid="{00000000-0010-0000-1400-000009000000}" name="Discount_Factor"/>
    <tableColumn id="10" xr3:uid="{00000000-0010-0000-1400-00000A000000}" name="Discounted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CashFlow" displayName="tbl_CashFlow" ref="A12:D17">
  <autoFilter ref="A12:D17" xr:uid="{00000000-0009-0000-0100-000016000000}"/>
  <tableColumns count="4">
    <tableColumn id="1" xr3:uid="{00000000-0010-0000-1500-000001000000}" name="Year"/>
    <tableColumn id="2" xr3:uid="{00000000-0010-0000-1500-000002000000}" name="Annual_Net"/>
    <tableColumn id="3" xr3:uid="{00000000-0010-0000-1500-000003000000}" name="Cumulative_Net"/>
    <tableColumn id="4" xr3:uid="{00000000-0010-0000-1500-000004000000}" name="Cumulative_NPV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UnitEconomics" displayName="tbl_UnitEconomics" ref="A12:D20">
  <autoFilter ref="A12:D20" xr:uid="{00000000-0009-0000-0100-000017000000}"/>
  <tableColumns count="4">
    <tableColumn id="1" xr3:uid="{00000000-0010-0000-1600-000001000000}" name="Metric"/>
    <tableColumn id="2" xr3:uid="{00000000-0010-0000-1600-000002000000}" name="Value"/>
    <tableColumn id="3" xr3:uid="{00000000-0010-0000-1600-000003000000}" name="Unit"/>
    <tableColumn id="4" xr3:uid="{00000000-0010-0000-1600-000004000000}" name="Formula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Sensitivity" displayName="tbl_Sensitivity" ref="A12:G16">
  <autoFilter ref="A12:G16" xr:uid="{00000000-0009-0000-0100-000018000000}"/>
  <tableColumns count="7">
    <tableColumn id="1" xr3:uid="{00000000-0010-0000-1700-000001000000}" name="Parameter"/>
    <tableColumn id="2" xr3:uid="{00000000-0010-0000-1700-000002000000}" name="Low"/>
    <tableColumn id="3" xr3:uid="{00000000-0010-0000-1700-000003000000}" name="Base"/>
    <tableColumn id="4" xr3:uid="{00000000-0010-0000-1700-000004000000}" name="High"/>
    <tableColumn id="5" xr3:uid="{00000000-0010-0000-1700-000005000000}" name="NPV_at_Low"/>
    <tableColumn id="6" xr3:uid="{00000000-0010-0000-1700-000006000000}" name="NPV_at_High"/>
    <tableColumn id="7" xr3:uid="{00000000-0010-0000-1700-000007000000}" name="Swing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KPIs" displayName="tbl_KPIs" ref="A12:B21">
  <autoFilter ref="A12:B21" xr:uid="{00000000-0009-0000-0100-000019000000}"/>
  <tableColumns count="2">
    <tableColumn id="1" xr3:uid="{00000000-0010-0000-1800-000001000000}" name="Metric"/>
    <tableColumn id="2" xr3:uid="{00000000-0010-0000-1800-000002000000}" name="Valu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ScenarioBreakdown" displayName="tbl_ScenarioBreakdown" ref="A29:C33">
  <autoFilter ref="A29:C33" xr:uid="{00000000-0009-0000-0100-00001A000000}"/>
  <tableColumns count="3">
    <tableColumn id="1" xr3:uid="{00000000-0010-0000-1900-000001000000}" name="Scenario"/>
    <tableColumn id="2" xr3:uid="{00000000-0010-0000-1900-000002000000}" name="Gated_Value"/>
    <tableColumn id="3" xr3:uid="{00000000-0010-0000-1900-000003000000}" name="Status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TreatmentKPIs" displayName="tbl_TreatmentKPIs" ref="A41:C49">
  <autoFilter ref="A41:C49" xr:uid="{00000000-0009-0000-0100-00001B000000}"/>
  <tableColumns count="3">
    <tableColumn id="1" xr3:uid="{00000000-0010-0000-1A00-000001000000}" name="Metric"/>
    <tableColumn id="2" xr3:uid="{00000000-0010-0000-1A00-000002000000}" name="Value"/>
    <tableColumn id="3" xr3:uid="{00000000-0010-0000-1A00-000003000000}" name="Status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OptionComparison" displayName="tbl_OptionComparison" ref="A57:D63">
  <autoFilter ref="A57:D63" xr:uid="{00000000-0009-0000-0100-00001C000000}"/>
  <tableColumns count="4">
    <tableColumn id="1" xr3:uid="{00000000-0010-0000-1B00-000001000000}" name="Metric"/>
    <tableColumn id="2" xr3:uid="{00000000-0010-0000-1B00-000002000000}" name="Monthly_HRMS"/>
    <tableColumn id="3" xr3:uid="{00000000-0010-0000-1B00-000003000000}" name="Weekly_HRMS"/>
    <tableColumn id="4" xr3:uid="{00000000-0010-0000-1B00-000004000000}" name="Daily_Biosensor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Checks" displayName="tbl_Checks" ref="A12:D26">
  <autoFilter ref="A12:D26" xr:uid="{00000000-0009-0000-0100-00001D000000}"/>
  <tableColumns count="4">
    <tableColumn id="1" xr3:uid="{00000000-0010-0000-1C00-000001000000}" name="Check_ID"/>
    <tableColumn id="2" xr3:uid="{00000000-0010-0000-1C00-000002000000}" name="Category"/>
    <tableColumn id="3" xr3:uid="{00000000-0010-0000-1C00-000003000000}" name="Description"/>
    <tableColumn id="4" xr3:uid="{00000000-0010-0000-1C00-000004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B29"/>
  <sheetViews>
    <sheetView workbookViewId="0"/>
  </sheetViews>
  <sheetFormatPr baseColWidth="10" defaultColWidth="8.83203125" defaultRowHeight="15" x14ac:dyDescent="0.2"/>
  <cols>
    <col min="1" max="1" width="20" customWidth="1"/>
    <col min="2" max="2" width="45" customWidth="1"/>
  </cols>
  <sheetData>
    <row r="1" spans="1:2" ht="26" x14ac:dyDescent="0.3">
      <c r="A1" s="1" t="s">
        <v>0</v>
      </c>
    </row>
    <row r="2" spans="1:2" ht="16" x14ac:dyDescent="0.2">
      <c r="A2" s="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s="3">
        <f ca="1">TODAY()</f>
        <v>46052</v>
      </c>
    </row>
    <row r="6" spans="1:2" x14ac:dyDescent="0.2">
      <c r="A6" t="s">
        <v>5</v>
      </c>
      <c r="B6" t="s">
        <v>6</v>
      </c>
    </row>
    <row r="8" spans="1:2" ht="19" x14ac:dyDescent="0.25">
      <c r="A8" s="4" t="s">
        <v>7</v>
      </c>
    </row>
    <row r="9" spans="1:2" x14ac:dyDescent="0.2">
      <c r="A9" t="s">
        <v>8</v>
      </c>
      <c r="B9" t="str">
        <f ca="1">IF(COUNTIF('17_Checks'!D:D,"FAIL")=0, "All Checks Pass", "Review 17_Checks")</f>
        <v>All Checks Pass</v>
      </c>
    </row>
    <row r="10" spans="1:2" x14ac:dyDescent="0.2">
      <c r="A10" t="s">
        <v>9</v>
      </c>
      <c r="B10">
        <f ca="1">COUNTIF('17_Checks'!D:D,"FAIL")</f>
        <v>0</v>
      </c>
    </row>
    <row r="12" spans="1:2" ht="19" x14ac:dyDescent="0.25">
      <c r="A12" s="4" t="s">
        <v>10</v>
      </c>
    </row>
    <row r="13" spans="1:2" x14ac:dyDescent="0.2">
      <c r="A13" t="s">
        <v>11</v>
      </c>
      <c r="B13" t="s">
        <v>12</v>
      </c>
    </row>
    <row r="14" spans="1:2" x14ac:dyDescent="0.2">
      <c r="A14" t="s">
        <v>13</v>
      </c>
      <c r="B14" t="s">
        <v>14</v>
      </c>
    </row>
    <row r="15" spans="1:2" x14ac:dyDescent="0.2">
      <c r="A15" t="s">
        <v>15</v>
      </c>
      <c r="B15" t="s">
        <v>16</v>
      </c>
    </row>
    <row r="16" spans="1:2" x14ac:dyDescent="0.2">
      <c r="A16" t="s">
        <v>17</v>
      </c>
      <c r="B16" t="s">
        <v>18</v>
      </c>
    </row>
    <row r="17" spans="1:2" x14ac:dyDescent="0.2">
      <c r="A17" t="s">
        <v>19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31</v>
      </c>
      <c r="B23" t="s">
        <v>32</v>
      </c>
    </row>
    <row r="24" spans="1:2" x14ac:dyDescent="0.2">
      <c r="A24" t="s">
        <v>33</v>
      </c>
      <c r="B24" t="s">
        <v>34</v>
      </c>
    </row>
    <row r="25" spans="1:2" x14ac:dyDescent="0.2">
      <c r="A25" t="s">
        <v>35</v>
      </c>
      <c r="B25" t="s">
        <v>36</v>
      </c>
    </row>
    <row r="26" spans="1:2" x14ac:dyDescent="0.2">
      <c r="A26" t="s">
        <v>37</v>
      </c>
      <c r="B26" t="s">
        <v>38</v>
      </c>
    </row>
    <row r="27" spans="1:2" x14ac:dyDescent="0.2">
      <c r="A27" t="s">
        <v>39</v>
      </c>
      <c r="B27" t="s">
        <v>40</v>
      </c>
    </row>
    <row r="28" spans="1:2" x14ac:dyDescent="0.2">
      <c r="A28" t="s">
        <v>41</v>
      </c>
      <c r="B28" t="s">
        <v>42</v>
      </c>
    </row>
    <row r="29" spans="1:2" x14ac:dyDescent="0.2">
      <c r="A29" t="s">
        <v>43</v>
      </c>
      <c r="B29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4"/>
  <sheetViews>
    <sheetView workbookViewId="0"/>
  </sheetViews>
  <sheetFormatPr baseColWidth="10" defaultColWidth="8.83203125" defaultRowHeight="15" x14ac:dyDescent="0.2"/>
  <cols>
    <col min="1" max="1" width="20" customWidth="1"/>
    <col min="2" max="2" width="18" customWidth="1"/>
    <col min="3" max="3" width="12" customWidth="1"/>
    <col min="4" max="4" width="35" customWidth="1"/>
  </cols>
  <sheetData>
    <row r="1" spans="1:4" ht="21" x14ac:dyDescent="0.25">
      <c r="A1" s="5" t="s">
        <v>45</v>
      </c>
    </row>
    <row r="3" spans="1:4" x14ac:dyDescent="0.2">
      <c r="A3" s="6" t="s">
        <v>45</v>
      </c>
    </row>
    <row r="4" spans="1:4" ht="31.25" customHeight="1" x14ac:dyDescent="0.2">
      <c r="A4" s="7" t="s">
        <v>46</v>
      </c>
      <c r="B4" s="27" t="s">
        <v>47</v>
      </c>
      <c r="C4" s="28"/>
      <c r="D4" s="28"/>
    </row>
    <row r="5" spans="1:4" ht="15.5" customHeight="1" x14ac:dyDescent="0.2">
      <c r="A5" s="7" t="s">
        <v>48</v>
      </c>
      <c r="B5" s="27" t="s">
        <v>49</v>
      </c>
      <c r="C5" s="28"/>
      <c r="D5" s="28"/>
    </row>
    <row r="6" spans="1:4" ht="78" customHeight="1" x14ac:dyDescent="0.2">
      <c r="A6" s="7" t="s">
        <v>50</v>
      </c>
      <c r="B6" s="27" t="s">
        <v>51</v>
      </c>
      <c r="C6" s="28"/>
      <c r="D6" s="28"/>
    </row>
    <row r="7" spans="1:4" ht="15.5" customHeight="1" x14ac:dyDescent="0.2">
      <c r="A7" s="7" t="s">
        <v>52</v>
      </c>
      <c r="B7" s="27" t="s">
        <v>53</v>
      </c>
      <c r="C7" s="28"/>
      <c r="D7" s="28"/>
    </row>
    <row r="8" spans="1:4" ht="15.5" customHeight="1" x14ac:dyDescent="0.2">
      <c r="A8" s="7" t="s">
        <v>54</v>
      </c>
      <c r="B8" s="27" t="s">
        <v>55</v>
      </c>
      <c r="C8" s="28"/>
      <c r="D8" s="28"/>
    </row>
    <row r="9" spans="1:4" x14ac:dyDescent="0.2">
      <c r="A9" s="8" t="s">
        <v>56</v>
      </c>
      <c r="B9" s="8" t="s">
        <v>57</v>
      </c>
      <c r="C9" s="8" t="s">
        <v>58</v>
      </c>
      <c r="D9" s="8" t="s">
        <v>59</v>
      </c>
    </row>
    <row r="10" spans="1:4" x14ac:dyDescent="0.2">
      <c r="A10" t="s">
        <v>60</v>
      </c>
      <c r="B10" s="9" t="s">
        <v>61</v>
      </c>
      <c r="C10" t="s">
        <v>62</v>
      </c>
      <c r="D10" t="s">
        <v>63</v>
      </c>
    </row>
    <row r="11" spans="1:4" x14ac:dyDescent="0.2">
      <c r="A11" t="s">
        <v>64</v>
      </c>
      <c r="B11" s="9" t="s">
        <v>65</v>
      </c>
      <c r="C11" t="s">
        <v>62</v>
      </c>
      <c r="D11" t="s">
        <v>66</v>
      </c>
    </row>
    <row r="12" spans="1:4" x14ac:dyDescent="0.2">
      <c r="A12" t="s">
        <v>67</v>
      </c>
      <c r="B12" s="10">
        <v>4.8000000000000001E-2</v>
      </c>
      <c r="C12" t="s">
        <v>68</v>
      </c>
      <c r="D12" t="s">
        <v>69</v>
      </c>
    </row>
    <row r="13" spans="1:4" x14ac:dyDescent="0.2">
      <c r="A13" t="s">
        <v>70</v>
      </c>
      <c r="B13" s="9">
        <v>5</v>
      </c>
      <c r="C13" t="s">
        <v>71</v>
      </c>
      <c r="D13" t="s">
        <v>72</v>
      </c>
    </row>
    <row r="14" spans="1:4" x14ac:dyDescent="0.2">
      <c r="A14" t="s">
        <v>73</v>
      </c>
      <c r="B14" s="9">
        <v>2026</v>
      </c>
      <c r="C14" t="s">
        <v>74</v>
      </c>
      <c r="D14" t="s">
        <v>75</v>
      </c>
    </row>
  </sheetData>
  <mergeCells count="5">
    <mergeCell ref="B5:D5"/>
    <mergeCell ref="B8:D8"/>
    <mergeCell ref="B4:D4"/>
    <mergeCell ref="B7:D7"/>
    <mergeCell ref="B6:D6"/>
  </mergeCells>
  <dataValidations count="2">
    <dataValidation type="list" errorTitle="Invalid Input" error="Select from dropdown" sqref="B5" xr:uid="{00000000-0002-0000-0100-000000000000}">
      <formula1>List_TestingOptions</formula1>
    </dataValidation>
    <dataValidation type="list" sqref="B6" xr:uid="{00000000-0002-0000-0100-000001000000}">
      <formula1>List_Scenarios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D88"/>
  <sheetViews>
    <sheetView workbookViewId="0"/>
  </sheetViews>
  <sheetFormatPr baseColWidth="10" defaultColWidth="8.83203125" defaultRowHeight="15" x14ac:dyDescent="0.2"/>
  <cols>
    <col min="1" max="1" width="35" customWidth="1"/>
    <col min="2" max="2" width="30" customWidth="1"/>
    <col min="3" max="3" width="50" customWidth="1"/>
    <col min="4" max="4" width="15" customWidth="1"/>
  </cols>
  <sheetData>
    <row r="1" spans="1:1" ht="21" x14ac:dyDescent="0.25">
      <c r="A1" s="5" t="s">
        <v>76</v>
      </c>
    </row>
    <row r="3" spans="1:1" ht="19" x14ac:dyDescent="0.25">
      <c r="A3" s="4" t="s">
        <v>77</v>
      </c>
    </row>
    <row r="4" spans="1:1" x14ac:dyDescent="0.2">
      <c r="A4" t="s">
        <v>78</v>
      </c>
    </row>
    <row r="5" spans="1:1" x14ac:dyDescent="0.2">
      <c r="A5" t="s">
        <v>79</v>
      </c>
    </row>
    <row r="6" spans="1:1" x14ac:dyDescent="0.2">
      <c r="A6" t="s">
        <v>80</v>
      </c>
    </row>
    <row r="7" spans="1:1" x14ac:dyDescent="0.2">
      <c r="A7" t="s">
        <v>81</v>
      </c>
    </row>
    <row r="9" spans="1:1" ht="19" x14ac:dyDescent="0.25">
      <c r="A9" s="4" t="s">
        <v>82</v>
      </c>
    </row>
    <row r="10" spans="1:1" x14ac:dyDescent="0.2">
      <c r="A10" t="s">
        <v>83</v>
      </c>
    </row>
    <row r="11" spans="1:1" x14ac:dyDescent="0.2">
      <c r="A11" t="s">
        <v>84</v>
      </c>
    </row>
    <row r="12" spans="1:1" x14ac:dyDescent="0.2">
      <c r="A12" t="s">
        <v>85</v>
      </c>
    </row>
    <row r="13" spans="1:1" x14ac:dyDescent="0.2">
      <c r="A13" t="s">
        <v>86</v>
      </c>
    </row>
    <row r="14" spans="1:1" x14ac:dyDescent="0.2">
      <c r="A14" t="s">
        <v>87</v>
      </c>
    </row>
    <row r="15" spans="1:1" x14ac:dyDescent="0.2">
      <c r="A15" t="s">
        <v>88</v>
      </c>
    </row>
    <row r="16" spans="1:1" x14ac:dyDescent="0.2">
      <c r="A16" t="s">
        <v>89</v>
      </c>
    </row>
    <row r="17" spans="1:4" x14ac:dyDescent="0.2">
      <c r="A17" t="s">
        <v>90</v>
      </c>
    </row>
    <row r="19" spans="1:4" ht="19" x14ac:dyDescent="0.25">
      <c r="A19" s="4" t="s">
        <v>91</v>
      </c>
    </row>
    <row r="20" spans="1:4" x14ac:dyDescent="0.2">
      <c r="A20" t="s">
        <v>92</v>
      </c>
    </row>
    <row r="21" spans="1:4" x14ac:dyDescent="0.2">
      <c r="A21" s="8" t="s">
        <v>93</v>
      </c>
      <c r="B21" s="8" t="s">
        <v>94</v>
      </c>
      <c r="C21" s="8" t="s">
        <v>95</v>
      </c>
      <c r="D21" s="8" t="s">
        <v>96</v>
      </c>
    </row>
    <row r="22" spans="1:4" x14ac:dyDescent="0.2">
      <c r="A22" t="s">
        <v>97</v>
      </c>
      <c r="B22" t="s">
        <v>98</v>
      </c>
      <c r="C22" t="s">
        <v>99</v>
      </c>
      <c r="D22" t="s">
        <v>100</v>
      </c>
    </row>
    <row r="23" spans="1:4" x14ac:dyDescent="0.2">
      <c r="A23" t="s">
        <v>101</v>
      </c>
      <c r="B23" t="s">
        <v>98</v>
      </c>
      <c r="C23" t="s">
        <v>99</v>
      </c>
      <c r="D23" t="s">
        <v>100</v>
      </c>
    </row>
    <row r="24" spans="1:4" x14ac:dyDescent="0.2">
      <c r="A24" t="s">
        <v>102</v>
      </c>
      <c r="B24" t="s">
        <v>103</v>
      </c>
      <c r="C24" t="s">
        <v>99</v>
      </c>
      <c r="D24" t="s">
        <v>100</v>
      </c>
    </row>
    <row r="25" spans="1:4" x14ac:dyDescent="0.2">
      <c r="A25" t="s">
        <v>104</v>
      </c>
      <c r="B25" t="s">
        <v>105</v>
      </c>
      <c r="C25" t="s">
        <v>99</v>
      </c>
      <c r="D25" t="s">
        <v>100</v>
      </c>
    </row>
    <row r="27" spans="1:4" ht="19" x14ac:dyDescent="0.25">
      <c r="A27" s="4" t="s">
        <v>106</v>
      </c>
    </row>
    <row r="28" spans="1:4" x14ac:dyDescent="0.2">
      <c r="A28" s="11" t="s">
        <v>107</v>
      </c>
      <c r="B28" t="s">
        <v>108</v>
      </c>
    </row>
    <row r="29" spans="1:4" x14ac:dyDescent="0.2">
      <c r="A29" s="11" t="s">
        <v>109</v>
      </c>
      <c r="B29" t="s">
        <v>110</v>
      </c>
    </row>
    <row r="30" spans="1:4" x14ac:dyDescent="0.2">
      <c r="A30" s="11" t="s">
        <v>111</v>
      </c>
      <c r="B30" t="s">
        <v>112</v>
      </c>
    </row>
    <row r="31" spans="1:4" x14ac:dyDescent="0.2">
      <c r="A31" s="11" t="s">
        <v>113</v>
      </c>
      <c r="B31" t="s">
        <v>114</v>
      </c>
    </row>
    <row r="32" spans="1:4" x14ac:dyDescent="0.2">
      <c r="A32" s="11" t="s">
        <v>115</v>
      </c>
      <c r="B32" t="s">
        <v>116</v>
      </c>
    </row>
    <row r="33" spans="1:2" x14ac:dyDescent="0.2">
      <c r="A33" s="11" t="s">
        <v>117</v>
      </c>
      <c r="B33" t="s">
        <v>118</v>
      </c>
    </row>
    <row r="34" spans="1:2" x14ac:dyDescent="0.2">
      <c r="A34" s="11" t="s">
        <v>119</v>
      </c>
      <c r="B34" t="s">
        <v>120</v>
      </c>
    </row>
    <row r="36" spans="1:2" ht="19" x14ac:dyDescent="0.25">
      <c r="A36" s="4" t="s">
        <v>121</v>
      </c>
    </row>
    <row r="37" spans="1:2" x14ac:dyDescent="0.2">
      <c r="A37" t="s">
        <v>122</v>
      </c>
    </row>
    <row r="38" spans="1:2" x14ac:dyDescent="0.2">
      <c r="A38" t="s">
        <v>123</v>
      </c>
    </row>
    <row r="39" spans="1:2" x14ac:dyDescent="0.2">
      <c r="A39" t="s">
        <v>124</v>
      </c>
    </row>
    <row r="40" spans="1:2" x14ac:dyDescent="0.2">
      <c r="A40" t="s">
        <v>125</v>
      </c>
    </row>
    <row r="41" spans="1:2" x14ac:dyDescent="0.2">
      <c r="A41" t="s">
        <v>126</v>
      </c>
    </row>
    <row r="43" spans="1:2" ht="19" x14ac:dyDescent="0.25">
      <c r="A43" s="4" t="s">
        <v>127</v>
      </c>
    </row>
    <row r="44" spans="1:2" x14ac:dyDescent="0.2">
      <c r="A44" s="12" t="s">
        <v>128</v>
      </c>
    </row>
    <row r="45" spans="1:2" x14ac:dyDescent="0.2">
      <c r="A45" t="s">
        <v>129</v>
      </c>
    </row>
    <row r="46" spans="1:2" x14ac:dyDescent="0.2">
      <c r="A46" t="s">
        <v>130</v>
      </c>
    </row>
    <row r="47" spans="1:2" x14ac:dyDescent="0.2">
      <c r="A47" t="s">
        <v>131</v>
      </c>
    </row>
    <row r="48" spans="1:2" x14ac:dyDescent="0.2">
      <c r="A48" t="s">
        <v>132</v>
      </c>
    </row>
    <row r="50" spans="1:1" x14ac:dyDescent="0.2">
      <c r="A50" s="11" t="s">
        <v>133</v>
      </c>
    </row>
    <row r="51" spans="1:1" x14ac:dyDescent="0.2">
      <c r="A51" t="s">
        <v>134</v>
      </c>
    </row>
    <row r="52" spans="1:1" x14ac:dyDescent="0.2">
      <c r="A52" t="s">
        <v>135</v>
      </c>
    </row>
    <row r="53" spans="1:1" x14ac:dyDescent="0.2">
      <c r="A53" t="s">
        <v>136</v>
      </c>
    </row>
    <row r="55" spans="1:1" ht="19" x14ac:dyDescent="0.25">
      <c r="A55" s="4" t="s">
        <v>137</v>
      </c>
    </row>
    <row r="56" spans="1:1" x14ac:dyDescent="0.2">
      <c r="A56" s="12" t="s">
        <v>138</v>
      </c>
    </row>
    <row r="57" spans="1:1" x14ac:dyDescent="0.2">
      <c r="A57" t="s">
        <v>139</v>
      </c>
    </row>
    <row r="59" spans="1:1" x14ac:dyDescent="0.2">
      <c r="A59" s="11" t="s">
        <v>140</v>
      </c>
    </row>
    <row r="60" spans="1:1" x14ac:dyDescent="0.2">
      <c r="A60" t="s">
        <v>141</v>
      </c>
    </row>
    <row r="61" spans="1:1" x14ac:dyDescent="0.2">
      <c r="A61" t="s">
        <v>142</v>
      </c>
    </row>
    <row r="62" spans="1:1" x14ac:dyDescent="0.2">
      <c r="A62" t="s">
        <v>143</v>
      </c>
    </row>
    <row r="64" spans="1:1" x14ac:dyDescent="0.2">
      <c r="A64" s="11" t="s">
        <v>144</v>
      </c>
    </row>
    <row r="65" spans="1:1" x14ac:dyDescent="0.2">
      <c r="A65" t="s">
        <v>145</v>
      </c>
    </row>
    <row r="66" spans="1:1" x14ac:dyDescent="0.2">
      <c r="A66" t="s">
        <v>146</v>
      </c>
    </row>
    <row r="67" spans="1:1" x14ac:dyDescent="0.2">
      <c r="A67" t="s">
        <v>147</v>
      </c>
    </row>
    <row r="69" spans="1:1" x14ac:dyDescent="0.2">
      <c r="A69" s="11" t="s">
        <v>148</v>
      </c>
    </row>
    <row r="70" spans="1:1" x14ac:dyDescent="0.2">
      <c r="A70" t="s">
        <v>149</v>
      </c>
    </row>
    <row r="71" spans="1:1" x14ac:dyDescent="0.2">
      <c r="A71" t="s">
        <v>150</v>
      </c>
    </row>
    <row r="72" spans="1:1" x14ac:dyDescent="0.2">
      <c r="A72" t="s">
        <v>151</v>
      </c>
    </row>
    <row r="73" spans="1:1" x14ac:dyDescent="0.2">
      <c r="A73" t="s">
        <v>152</v>
      </c>
    </row>
    <row r="74" spans="1:1" x14ac:dyDescent="0.2">
      <c r="A74" t="s">
        <v>153</v>
      </c>
    </row>
    <row r="76" spans="1:1" x14ac:dyDescent="0.2">
      <c r="A76" s="11" t="s">
        <v>154</v>
      </c>
    </row>
    <row r="77" spans="1:1" x14ac:dyDescent="0.2">
      <c r="A77" t="s">
        <v>155</v>
      </c>
    </row>
    <row r="78" spans="1:1" x14ac:dyDescent="0.2">
      <c r="A78" t="s">
        <v>156</v>
      </c>
    </row>
    <row r="79" spans="1:1" x14ac:dyDescent="0.2">
      <c r="A79" t="s">
        <v>157</v>
      </c>
    </row>
    <row r="80" spans="1:1" x14ac:dyDescent="0.2">
      <c r="A80" t="s">
        <v>158</v>
      </c>
    </row>
    <row r="82" spans="1:3" ht="19" x14ac:dyDescent="0.25">
      <c r="A82" s="4" t="s">
        <v>159</v>
      </c>
    </row>
    <row r="83" spans="1:3" x14ac:dyDescent="0.2">
      <c r="A83" s="8" t="s">
        <v>160</v>
      </c>
      <c r="B83" s="8" t="s">
        <v>161</v>
      </c>
      <c r="C83" s="8" t="s">
        <v>162</v>
      </c>
    </row>
    <row r="84" spans="1:3" x14ac:dyDescent="0.2">
      <c r="A84" t="s">
        <v>163</v>
      </c>
      <c r="B84" t="s">
        <v>164</v>
      </c>
      <c r="C84" t="s">
        <v>165</v>
      </c>
    </row>
    <row r="85" spans="1:3" x14ac:dyDescent="0.2">
      <c r="A85" t="s">
        <v>166</v>
      </c>
      <c r="B85" t="s">
        <v>164</v>
      </c>
      <c r="C85" t="s">
        <v>167</v>
      </c>
    </row>
    <row r="86" spans="1:3" x14ac:dyDescent="0.2">
      <c r="A86" t="s">
        <v>3</v>
      </c>
      <c r="B86" t="s">
        <v>164</v>
      </c>
      <c r="C86" t="s">
        <v>168</v>
      </c>
    </row>
    <row r="87" spans="1:3" x14ac:dyDescent="0.2">
      <c r="A87" t="s">
        <v>169</v>
      </c>
      <c r="B87" t="s">
        <v>170</v>
      </c>
      <c r="C87" t="s">
        <v>171</v>
      </c>
    </row>
    <row r="88" spans="1:3" x14ac:dyDescent="0.2">
      <c r="A88" t="s">
        <v>172</v>
      </c>
      <c r="B88" t="s">
        <v>173</v>
      </c>
      <c r="C88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D44"/>
  <sheetViews>
    <sheetView workbookViewId="0">
      <selection activeCell="J31" sqref="J31"/>
    </sheetView>
  </sheetViews>
  <sheetFormatPr baseColWidth="10" defaultColWidth="8.83203125" defaultRowHeight="15" x14ac:dyDescent="0.2"/>
  <cols>
    <col min="1" max="1" width="32" customWidth="1"/>
    <col min="2" max="2" width="22.1640625" customWidth="1"/>
    <col min="3" max="3" width="18" customWidth="1"/>
    <col min="4" max="4" width="28" customWidth="1"/>
  </cols>
  <sheetData>
    <row r="1" spans="1:4" ht="21" x14ac:dyDescent="0.25">
      <c r="A1" s="5" t="s">
        <v>175</v>
      </c>
    </row>
    <row r="2" spans="1:4" x14ac:dyDescent="0.2">
      <c r="A2" s="12" t="s">
        <v>176</v>
      </c>
    </row>
    <row r="4" spans="1:4" x14ac:dyDescent="0.2">
      <c r="A4" s="8" t="s">
        <v>177</v>
      </c>
      <c r="B4" s="8" t="s">
        <v>57</v>
      </c>
      <c r="C4" s="8" t="s">
        <v>178</v>
      </c>
      <c r="D4" s="8" t="s">
        <v>179</v>
      </c>
    </row>
    <row r="5" spans="1:4" x14ac:dyDescent="0.2">
      <c r="A5" t="s">
        <v>180</v>
      </c>
      <c r="B5">
        <f>Initial_NAFC</f>
        <v>63.1</v>
      </c>
      <c r="C5" t="s">
        <v>15</v>
      </c>
      <c r="D5" t="s">
        <v>21</v>
      </c>
    </row>
    <row r="6" spans="1:4" x14ac:dyDescent="0.2">
      <c r="A6" t="s">
        <v>181</v>
      </c>
      <c r="B6">
        <f>Target_NAFC</f>
        <v>50</v>
      </c>
      <c r="C6" t="s">
        <v>15</v>
      </c>
      <c r="D6" t="s">
        <v>21</v>
      </c>
    </row>
    <row r="7" spans="1:4" x14ac:dyDescent="0.2">
      <c r="A7" t="s">
        <v>182</v>
      </c>
      <c r="B7">
        <f>Rapid_Phase_Rate</f>
        <v>0.53200000000000003</v>
      </c>
      <c r="C7" t="s">
        <v>15</v>
      </c>
      <c r="D7" t="s">
        <v>21</v>
      </c>
    </row>
    <row r="8" spans="1:4" x14ac:dyDescent="0.2">
      <c r="A8" t="s">
        <v>183</v>
      </c>
      <c r="B8">
        <f>Slow_Phase_Rate</f>
        <v>0.248</v>
      </c>
      <c r="C8" t="s">
        <v>15</v>
      </c>
      <c r="D8" t="s">
        <v>21</v>
      </c>
    </row>
    <row r="9" spans="1:4" x14ac:dyDescent="0.2">
      <c r="A9" t="s">
        <v>184</v>
      </c>
      <c r="B9">
        <f>Rapid_Phase_Duration</f>
        <v>15</v>
      </c>
      <c r="C9" t="s">
        <v>15</v>
      </c>
      <c r="D9" t="s">
        <v>21</v>
      </c>
    </row>
    <row r="10" spans="1:4" x14ac:dyDescent="0.2">
      <c r="A10" t="s">
        <v>185</v>
      </c>
      <c r="B10">
        <f>Recirculation_Cycle</f>
        <v>14</v>
      </c>
      <c r="C10" t="s">
        <v>15</v>
      </c>
      <c r="D10" t="s">
        <v>21</v>
      </c>
    </row>
    <row r="11" spans="1:4" x14ac:dyDescent="0.2">
      <c r="A11" t="s">
        <v>186</v>
      </c>
      <c r="B11">
        <f>Season_Length</f>
        <v>100</v>
      </c>
      <c r="C11" t="s">
        <v>15</v>
      </c>
      <c r="D11" t="s">
        <v>187</v>
      </c>
    </row>
    <row r="12" spans="1:4" x14ac:dyDescent="0.2">
      <c r="A12" t="s">
        <v>188</v>
      </c>
      <c r="B12" t="s">
        <v>189</v>
      </c>
      <c r="C12" t="s">
        <v>15</v>
      </c>
      <c r="D12" t="s">
        <v>21</v>
      </c>
    </row>
    <row r="13" spans="1:4" x14ac:dyDescent="0.2">
      <c r="A13" t="s">
        <v>190</v>
      </c>
      <c r="B13">
        <f>Tri_Season_Extension_Days_Min</f>
        <v>14</v>
      </c>
      <c r="C13" t="s">
        <v>19</v>
      </c>
      <c r="D13" t="s">
        <v>23</v>
      </c>
    </row>
    <row r="14" spans="1:4" x14ac:dyDescent="0.2">
      <c r="A14" t="s">
        <v>191</v>
      </c>
      <c r="B14">
        <f>Tri_Season_Extension_Days_Mode</f>
        <v>21</v>
      </c>
      <c r="C14" t="s">
        <v>19</v>
      </c>
      <c r="D14" t="s">
        <v>23</v>
      </c>
    </row>
    <row r="15" spans="1:4" x14ac:dyDescent="0.2">
      <c r="A15" t="s">
        <v>192</v>
      </c>
      <c r="B15">
        <f>Tri_Season_Extension_Days_Max</f>
        <v>35</v>
      </c>
      <c r="C15" t="s">
        <v>19</v>
      </c>
      <c r="D15" t="s">
        <v>23</v>
      </c>
    </row>
    <row r="16" spans="1:4" x14ac:dyDescent="0.2">
      <c r="A16" t="s">
        <v>193</v>
      </c>
      <c r="B16">
        <f>Tri_Extension_Value_Per_Day_Min</f>
        <v>3000</v>
      </c>
      <c r="C16" t="s">
        <v>19</v>
      </c>
      <c r="D16" t="s">
        <v>23</v>
      </c>
    </row>
    <row r="17" spans="1:4" x14ac:dyDescent="0.2">
      <c r="A17" t="s">
        <v>194</v>
      </c>
      <c r="B17">
        <f>Tri_Extension_Value_Per_Day_Mode</f>
        <v>7500</v>
      </c>
      <c r="C17" t="s">
        <v>19</v>
      </c>
      <c r="D17" t="s">
        <v>23</v>
      </c>
    </row>
    <row r="18" spans="1:4" x14ac:dyDescent="0.2">
      <c r="A18" t="s">
        <v>195</v>
      </c>
      <c r="B18">
        <f>Tri_Extension_Value_Per_Day_Max</f>
        <v>15000</v>
      </c>
      <c r="C18" t="s">
        <v>19</v>
      </c>
      <c r="D18" t="s">
        <v>23</v>
      </c>
    </row>
    <row r="19" spans="1:4" x14ac:dyDescent="0.2">
      <c r="A19" t="s">
        <v>196</v>
      </c>
      <c r="B19">
        <f>Tri_Interventions_Avoided_Min</f>
        <v>1</v>
      </c>
      <c r="C19" t="s">
        <v>19</v>
      </c>
      <c r="D19" t="s">
        <v>23</v>
      </c>
    </row>
    <row r="20" spans="1:4" x14ac:dyDescent="0.2">
      <c r="A20" t="s">
        <v>197</v>
      </c>
      <c r="B20">
        <f>Tri_Interventions_Avoided_Mode</f>
        <v>3</v>
      </c>
      <c r="C20" t="s">
        <v>19</v>
      </c>
      <c r="D20" t="s">
        <v>23</v>
      </c>
    </row>
    <row r="21" spans="1:4" x14ac:dyDescent="0.2">
      <c r="A21" t="s">
        <v>198</v>
      </c>
      <c r="B21">
        <f>Tri_Interventions_Avoided_Max</f>
        <v>8</v>
      </c>
      <c r="C21" t="s">
        <v>19</v>
      </c>
      <c r="D21" t="s">
        <v>23</v>
      </c>
    </row>
    <row r="22" spans="1:4" x14ac:dyDescent="0.2">
      <c r="A22" t="s">
        <v>199</v>
      </c>
      <c r="B22">
        <f>Tri_Treatment_Rate_Factor_Min</f>
        <v>0.7</v>
      </c>
      <c r="C22" t="s">
        <v>19</v>
      </c>
      <c r="D22" t="s">
        <v>23</v>
      </c>
    </row>
    <row r="23" spans="1:4" x14ac:dyDescent="0.2">
      <c r="A23" t="s">
        <v>200</v>
      </c>
      <c r="B23">
        <f>Tri_Treatment_Rate_Factor_Mode</f>
        <v>1</v>
      </c>
      <c r="C23" t="s">
        <v>19</v>
      </c>
      <c r="D23" t="s">
        <v>23</v>
      </c>
    </row>
    <row r="24" spans="1:4" x14ac:dyDescent="0.2">
      <c r="A24" t="s">
        <v>201</v>
      </c>
      <c r="B24">
        <f>Tri_Treatment_Rate_Factor_Max</f>
        <v>1.3</v>
      </c>
      <c r="C24" t="s">
        <v>19</v>
      </c>
      <c r="D24" t="s">
        <v>23</v>
      </c>
    </row>
    <row r="25" spans="1:4" x14ac:dyDescent="0.2">
      <c r="A25" t="s">
        <v>202</v>
      </c>
      <c r="B25">
        <f>Beta_Efficiency_Gain_Alpha</f>
        <v>2</v>
      </c>
      <c r="C25" t="s">
        <v>19</v>
      </c>
    </row>
    <row r="26" spans="1:4" x14ac:dyDescent="0.2">
      <c r="A26" t="s">
        <v>203</v>
      </c>
      <c r="B26">
        <f>Beta_Efficiency_Gain_Beta</f>
        <v>5</v>
      </c>
      <c r="C26" t="s">
        <v>19</v>
      </c>
    </row>
    <row r="27" spans="1:4" x14ac:dyDescent="0.2">
      <c r="A27" t="s">
        <v>204</v>
      </c>
      <c r="B27">
        <f>Beta_Efficiency_Gain_Min</f>
        <v>0.05</v>
      </c>
      <c r="C27" t="s">
        <v>19</v>
      </c>
      <c r="D27" t="s">
        <v>23</v>
      </c>
    </row>
    <row r="28" spans="1:4" x14ac:dyDescent="0.2">
      <c r="A28" t="s">
        <v>205</v>
      </c>
      <c r="B28">
        <f>Beta_Efficiency_Gain_Max</f>
        <v>0.4</v>
      </c>
      <c r="C28" t="s">
        <v>19</v>
      </c>
      <c r="D28" t="s">
        <v>23</v>
      </c>
    </row>
    <row r="29" spans="1:4" x14ac:dyDescent="0.2">
      <c r="A29" t="s">
        <v>206</v>
      </c>
      <c r="B29">
        <f ca="1">Eff_Rapid_Rate</f>
        <v>0.52616311797843596</v>
      </c>
      <c r="C29" t="s">
        <v>21</v>
      </c>
      <c r="D29" t="s">
        <v>21</v>
      </c>
    </row>
    <row r="30" spans="1:4" x14ac:dyDescent="0.2">
      <c r="A30" t="s">
        <v>207</v>
      </c>
      <c r="B30">
        <f ca="1">Eff_Slow_Rate</f>
        <v>0.24527904747866938</v>
      </c>
      <c r="C30" t="s">
        <v>21</v>
      </c>
      <c r="D30" t="s">
        <v>21</v>
      </c>
    </row>
    <row r="31" spans="1:4" x14ac:dyDescent="0.2">
      <c r="A31" t="s">
        <v>208</v>
      </c>
      <c r="B31">
        <f ca="1">NAFC_After_Rapid</f>
        <v>55.207553230323462</v>
      </c>
      <c r="C31" t="s">
        <v>21</v>
      </c>
      <c r="D31" t="s">
        <v>21</v>
      </c>
    </row>
    <row r="32" spans="1:4" x14ac:dyDescent="0.2">
      <c r="A32" t="s">
        <v>209</v>
      </c>
      <c r="B32">
        <f ca="1">Days_to_Compliance</f>
        <v>36.231137693391176</v>
      </c>
      <c r="C32" t="s">
        <v>21</v>
      </c>
      <c r="D32" t="s">
        <v>210</v>
      </c>
    </row>
    <row r="33" spans="1:4" x14ac:dyDescent="0.2">
      <c r="A33" t="s">
        <v>211</v>
      </c>
      <c r="B33" t="s">
        <v>189</v>
      </c>
      <c r="C33" t="s">
        <v>21</v>
      </c>
      <c r="D33" t="s">
        <v>33</v>
      </c>
    </row>
    <row r="34" spans="1:4" x14ac:dyDescent="0.2">
      <c r="A34" t="s">
        <v>212</v>
      </c>
      <c r="B34" t="s">
        <v>189</v>
      </c>
      <c r="C34" t="s">
        <v>21</v>
      </c>
      <c r="D34" t="s">
        <v>33</v>
      </c>
    </row>
    <row r="37" spans="1:4" ht="19" x14ac:dyDescent="0.25">
      <c r="A37" s="4" t="s">
        <v>213</v>
      </c>
    </row>
    <row r="38" spans="1:4" x14ac:dyDescent="0.2">
      <c r="A38" t="s">
        <v>214</v>
      </c>
    </row>
    <row r="39" spans="1:4" x14ac:dyDescent="0.2">
      <c r="A39" t="s">
        <v>215</v>
      </c>
    </row>
    <row r="41" spans="1:4" x14ac:dyDescent="0.2">
      <c r="A41" s="11" t="s">
        <v>216</v>
      </c>
    </row>
    <row r="42" spans="1:4" x14ac:dyDescent="0.2">
      <c r="A42" t="s">
        <v>217</v>
      </c>
    </row>
    <row r="43" spans="1:4" x14ac:dyDescent="0.2">
      <c r="A43" t="s">
        <v>218</v>
      </c>
    </row>
    <row r="44" spans="1:4" x14ac:dyDescent="0.2">
      <c r="A44" t="s">
        <v>219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26"/>
  <sheetViews>
    <sheetView workbookViewId="0"/>
  </sheetViews>
  <sheetFormatPr baseColWidth="10" defaultColWidth="8.83203125" defaultRowHeight="15" x14ac:dyDescent="0.2"/>
  <cols>
    <col min="1" max="1" width="24" customWidth="1"/>
    <col min="2" max="2" width="14" customWidth="1"/>
    <col min="3" max="3" width="12" customWidth="1"/>
    <col min="4" max="4" width="42" customWidth="1"/>
    <col min="5" max="5" width="30" customWidth="1"/>
    <col min="6" max="6" width="16" customWidth="1"/>
    <col min="7" max="7" width="14" customWidth="1"/>
  </cols>
  <sheetData>
    <row r="1" spans="1:5" ht="21" x14ac:dyDescent="0.25">
      <c r="A1" s="5" t="s">
        <v>220</v>
      </c>
    </row>
    <row r="3" spans="1:5" x14ac:dyDescent="0.2">
      <c r="A3" s="6" t="s">
        <v>221</v>
      </c>
    </row>
    <row r="4" spans="1:5" ht="15.5" customHeight="1" x14ac:dyDescent="0.2">
      <c r="A4" s="7" t="s">
        <v>46</v>
      </c>
      <c r="B4" s="27" t="s">
        <v>222</v>
      </c>
      <c r="C4" s="28"/>
      <c r="D4" s="28"/>
      <c r="E4" s="28"/>
    </row>
    <row r="5" spans="1:5" ht="15.5" customHeight="1" x14ac:dyDescent="0.2">
      <c r="A5" s="7" t="s">
        <v>48</v>
      </c>
      <c r="B5" s="27" t="s">
        <v>223</v>
      </c>
      <c r="C5" s="28"/>
      <c r="D5" s="28"/>
      <c r="E5" s="28"/>
    </row>
    <row r="6" spans="1:5" ht="31.25" customHeight="1" x14ac:dyDescent="0.2">
      <c r="A6" s="7" t="s">
        <v>50</v>
      </c>
      <c r="B6" s="27" t="s">
        <v>224</v>
      </c>
      <c r="C6" s="28"/>
      <c r="D6" s="28"/>
      <c r="E6" s="28"/>
    </row>
    <row r="7" spans="1:5" ht="15.5" customHeight="1" x14ac:dyDescent="0.2">
      <c r="A7" s="7" t="s">
        <v>52</v>
      </c>
      <c r="B7" s="27" t="s">
        <v>225</v>
      </c>
      <c r="C7" s="28"/>
      <c r="D7" s="28"/>
      <c r="E7" s="28"/>
    </row>
    <row r="8" spans="1:5" ht="15.5" customHeight="1" x14ac:dyDescent="0.2">
      <c r="A8" s="7" t="s">
        <v>54</v>
      </c>
      <c r="B8" s="27" t="s">
        <v>226</v>
      </c>
      <c r="C8" s="28"/>
      <c r="D8" s="28"/>
      <c r="E8" s="28"/>
    </row>
    <row r="9" spans="1:5" x14ac:dyDescent="0.2">
      <c r="A9" s="8" t="s">
        <v>56</v>
      </c>
      <c r="B9" s="8" t="s">
        <v>57</v>
      </c>
      <c r="C9" s="8" t="s">
        <v>227</v>
      </c>
      <c r="D9" s="8" t="s">
        <v>228</v>
      </c>
      <c r="E9" s="8" t="s">
        <v>179</v>
      </c>
    </row>
    <row r="10" spans="1:5" x14ac:dyDescent="0.2">
      <c r="A10" t="s">
        <v>229</v>
      </c>
      <c r="B10" s="9">
        <v>5</v>
      </c>
      <c r="C10" t="s">
        <v>230</v>
      </c>
      <c r="D10" t="s">
        <v>231</v>
      </c>
    </row>
    <row r="11" spans="1:5" x14ac:dyDescent="0.2">
      <c r="A11" t="s">
        <v>232</v>
      </c>
      <c r="B11" s="9">
        <v>15</v>
      </c>
      <c r="C11" t="s">
        <v>233</v>
      </c>
      <c r="D11" t="s">
        <v>234</v>
      </c>
    </row>
    <row r="12" spans="1:5" x14ac:dyDescent="0.2">
      <c r="A12" t="s">
        <v>235</v>
      </c>
      <c r="B12" s="9">
        <v>9</v>
      </c>
      <c r="C12" t="s">
        <v>230</v>
      </c>
      <c r="D12" t="s">
        <v>236</v>
      </c>
    </row>
    <row r="13" spans="1:5" x14ac:dyDescent="0.2">
      <c r="A13" t="s">
        <v>237</v>
      </c>
      <c r="B13" s="9">
        <v>15</v>
      </c>
      <c r="C13" t="s">
        <v>233</v>
      </c>
      <c r="D13" t="s">
        <v>238</v>
      </c>
    </row>
    <row r="14" spans="1:5" x14ac:dyDescent="0.2">
      <c r="A14" t="s">
        <v>239</v>
      </c>
      <c r="B14" s="9">
        <v>100</v>
      </c>
      <c r="C14" t="s">
        <v>240</v>
      </c>
      <c r="D14" t="s">
        <v>241</v>
      </c>
      <c r="E14" t="s">
        <v>187</v>
      </c>
    </row>
    <row r="16" spans="1:5" x14ac:dyDescent="0.2">
      <c r="A16" s="6" t="s">
        <v>242</v>
      </c>
    </row>
    <row r="17" spans="1:5" ht="31.25" customHeight="1" x14ac:dyDescent="0.2">
      <c r="A17" s="7" t="s">
        <v>46</v>
      </c>
      <c r="B17" s="27" t="s">
        <v>243</v>
      </c>
      <c r="C17" s="28"/>
      <c r="D17" s="28"/>
    </row>
    <row r="18" spans="1:5" ht="31.25" customHeight="1" x14ac:dyDescent="0.2">
      <c r="A18" s="7" t="s">
        <v>48</v>
      </c>
      <c r="B18" s="27" t="s">
        <v>244</v>
      </c>
      <c r="C18" s="28"/>
      <c r="D18" s="28"/>
    </row>
    <row r="19" spans="1:5" ht="31.25" customHeight="1" x14ac:dyDescent="0.2">
      <c r="A19" s="7" t="s">
        <v>50</v>
      </c>
      <c r="B19" s="27" t="s">
        <v>245</v>
      </c>
      <c r="C19" s="28"/>
      <c r="D19" s="28"/>
    </row>
    <row r="20" spans="1:5" ht="15.5" customHeight="1" x14ac:dyDescent="0.2">
      <c r="A20" s="7" t="s">
        <v>52</v>
      </c>
      <c r="B20" s="27" t="s">
        <v>246</v>
      </c>
      <c r="C20" s="28"/>
      <c r="D20" s="28"/>
    </row>
    <row r="21" spans="1:5" ht="15.5" customHeight="1" x14ac:dyDescent="0.2">
      <c r="A21" s="7" t="s">
        <v>54</v>
      </c>
      <c r="B21" s="27" t="s">
        <v>247</v>
      </c>
      <c r="C21" s="28"/>
      <c r="D21" s="28"/>
    </row>
    <row r="22" spans="1:5" x14ac:dyDescent="0.2">
      <c r="A22" s="8" t="s">
        <v>248</v>
      </c>
      <c r="B22" s="8" t="s">
        <v>249</v>
      </c>
      <c r="C22" s="8" t="s">
        <v>250</v>
      </c>
      <c r="D22" s="8" t="s">
        <v>251</v>
      </c>
    </row>
    <row r="23" spans="1:5" x14ac:dyDescent="0.2">
      <c r="A23" t="s">
        <v>231</v>
      </c>
      <c r="B23">
        <v>5</v>
      </c>
      <c r="C23" s="9">
        <v>0.85</v>
      </c>
      <c r="D23" t="s">
        <v>252</v>
      </c>
    </row>
    <row r="24" spans="1:5" x14ac:dyDescent="0.2">
      <c r="A24" t="s">
        <v>253</v>
      </c>
      <c r="B24">
        <v>6</v>
      </c>
      <c r="C24" s="9">
        <v>1</v>
      </c>
      <c r="D24" t="s">
        <v>254</v>
      </c>
    </row>
    <row r="25" spans="1:5" x14ac:dyDescent="0.2">
      <c r="A25" t="s">
        <v>255</v>
      </c>
      <c r="B25">
        <v>7</v>
      </c>
      <c r="C25" s="9">
        <v>1</v>
      </c>
      <c r="D25" t="s">
        <v>254</v>
      </c>
    </row>
    <row r="26" spans="1:5" x14ac:dyDescent="0.2">
      <c r="A26" t="s">
        <v>256</v>
      </c>
      <c r="B26">
        <v>8</v>
      </c>
      <c r="C26" s="9">
        <v>0.95</v>
      </c>
      <c r="D26" t="s">
        <v>257</v>
      </c>
    </row>
    <row r="27" spans="1:5" x14ac:dyDescent="0.2">
      <c r="A27" t="s">
        <v>236</v>
      </c>
      <c r="B27">
        <v>9</v>
      </c>
      <c r="C27" s="9">
        <v>0.75</v>
      </c>
      <c r="D27" t="s">
        <v>258</v>
      </c>
    </row>
    <row r="30" spans="1:5" x14ac:dyDescent="0.2">
      <c r="A30" s="6" t="s">
        <v>259</v>
      </c>
    </row>
    <row r="31" spans="1:5" ht="15.5" customHeight="1" x14ac:dyDescent="0.2">
      <c r="A31" s="7" t="s">
        <v>46</v>
      </c>
      <c r="B31" s="27" t="s">
        <v>260</v>
      </c>
      <c r="C31" s="28"/>
      <c r="D31" s="28"/>
      <c r="E31" s="28"/>
    </row>
    <row r="32" spans="1:5" ht="15.5" customHeight="1" x14ac:dyDescent="0.2">
      <c r="A32" s="7" t="s">
        <v>48</v>
      </c>
      <c r="B32" s="27" t="s">
        <v>261</v>
      </c>
      <c r="C32" s="28"/>
      <c r="D32" s="28"/>
      <c r="E32" s="28"/>
    </row>
    <row r="33" spans="1:5" ht="31.25" customHeight="1" x14ac:dyDescent="0.2">
      <c r="A33" s="7" t="s">
        <v>50</v>
      </c>
      <c r="B33" s="27" t="s">
        <v>262</v>
      </c>
      <c r="C33" s="28"/>
      <c r="D33" s="28"/>
      <c r="E33" s="28"/>
    </row>
    <row r="34" spans="1:5" ht="15.5" customHeight="1" x14ac:dyDescent="0.2">
      <c r="A34" s="7" t="s">
        <v>52</v>
      </c>
      <c r="B34" s="27" t="s">
        <v>263</v>
      </c>
      <c r="C34" s="28"/>
      <c r="D34" s="28"/>
      <c r="E34" s="28"/>
    </row>
    <row r="35" spans="1:5" ht="15.5" customHeight="1" x14ac:dyDescent="0.2">
      <c r="A35" s="7" t="s">
        <v>54</v>
      </c>
      <c r="B35" s="27" t="s">
        <v>264</v>
      </c>
      <c r="C35" s="28"/>
      <c r="D35" s="28"/>
      <c r="E35" s="28"/>
    </row>
    <row r="36" spans="1:5" x14ac:dyDescent="0.2">
      <c r="A36" s="8" t="s">
        <v>56</v>
      </c>
      <c r="B36" s="8" t="s">
        <v>57</v>
      </c>
      <c r="C36" s="8" t="s">
        <v>227</v>
      </c>
      <c r="D36" s="8" t="s">
        <v>265</v>
      </c>
      <c r="E36" s="8" t="s">
        <v>179</v>
      </c>
    </row>
    <row r="37" spans="1:5" x14ac:dyDescent="0.2">
      <c r="A37" t="s">
        <v>266</v>
      </c>
      <c r="B37" s="9">
        <v>1</v>
      </c>
      <c r="C37" t="s">
        <v>267</v>
      </c>
      <c r="D37" t="s">
        <v>268</v>
      </c>
    </row>
    <row r="38" spans="1:5" x14ac:dyDescent="0.2">
      <c r="A38" t="s">
        <v>269</v>
      </c>
      <c r="B38" s="9">
        <v>5</v>
      </c>
      <c r="C38" t="s">
        <v>270</v>
      </c>
      <c r="D38" t="s">
        <v>271</v>
      </c>
    </row>
    <row r="39" spans="1:5" x14ac:dyDescent="0.2">
      <c r="A39" t="s">
        <v>272</v>
      </c>
      <c r="B39" s="9">
        <v>50000</v>
      </c>
      <c r="C39" t="s">
        <v>273</v>
      </c>
      <c r="D39" t="s">
        <v>274</v>
      </c>
    </row>
    <row r="40" spans="1:5" x14ac:dyDescent="0.2">
      <c r="A40" t="s">
        <v>275</v>
      </c>
      <c r="B40" s="13">
        <v>5</v>
      </c>
      <c r="C40" t="s">
        <v>276</v>
      </c>
      <c r="D40" t="s">
        <v>277</v>
      </c>
    </row>
    <row r="43" spans="1:5" x14ac:dyDescent="0.2">
      <c r="A43" s="6" t="s">
        <v>278</v>
      </c>
    </row>
    <row r="44" spans="1:5" ht="15.5" customHeight="1" x14ac:dyDescent="0.2">
      <c r="A44" s="7" t="s">
        <v>46</v>
      </c>
      <c r="B44" s="27" t="s">
        <v>279</v>
      </c>
      <c r="C44" s="28"/>
      <c r="D44" s="28"/>
    </row>
    <row r="45" spans="1:5" ht="15.5" customHeight="1" x14ac:dyDescent="0.2">
      <c r="A45" s="7" t="s">
        <v>48</v>
      </c>
      <c r="B45" s="27" t="s">
        <v>280</v>
      </c>
      <c r="C45" s="28"/>
      <c r="D45" s="28"/>
    </row>
    <row r="46" spans="1:5" ht="31.25" customHeight="1" x14ac:dyDescent="0.2">
      <c r="A46" s="7" t="s">
        <v>50</v>
      </c>
      <c r="B46" s="27" t="s">
        <v>281</v>
      </c>
      <c r="C46" s="28"/>
      <c r="D46" s="28"/>
    </row>
    <row r="47" spans="1:5" ht="15.5" customHeight="1" x14ac:dyDescent="0.2">
      <c r="A47" s="7" t="s">
        <v>52</v>
      </c>
      <c r="B47" s="27" t="s">
        <v>282</v>
      </c>
      <c r="C47" s="28"/>
      <c r="D47" s="28"/>
    </row>
    <row r="48" spans="1:5" ht="15.5" customHeight="1" x14ac:dyDescent="0.2">
      <c r="A48" s="7" t="s">
        <v>54</v>
      </c>
      <c r="B48" s="27" t="s">
        <v>283</v>
      </c>
      <c r="C48" s="28"/>
      <c r="D48" s="28"/>
    </row>
    <row r="49" spans="1:4" x14ac:dyDescent="0.2">
      <c r="A49" s="8" t="s">
        <v>56</v>
      </c>
      <c r="B49" s="8" t="s">
        <v>57</v>
      </c>
      <c r="C49" s="8" t="s">
        <v>227</v>
      </c>
      <c r="D49" s="8" t="s">
        <v>179</v>
      </c>
    </row>
    <row r="50" spans="1:4" x14ac:dyDescent="0.2">
      <c r="A50" t="s">
        <v>284</v>
      </c>
      <c r="B50" s="14">
        <v>1500</v>
      </c>
      <c r="C50" t="s">
        <v>285</v>
      </c>
    </row>
    <row r="51" spans="1:4" x14ac:dyDescent="0.2">
      <c r="A51" t="s">
        <v>286</v>
      </c>
      <c r="B51" s="14">
        <v>50000</v>
      </c>
      <c r="C51" t="s">
        <v>287</v>
      </c>
    </row>
    <row r="52" spans="1:4" x14ac:dyDescent="0.2">
      <c r="A52" t="s">
        <v>288</v>
      </c>
      <c r="B52" s="14">
        <v>15000</v>
      </c>
      <c r="C52" t="s">
        <v>285</v>
      </c>
    </row>
    <row r="55" spans="1:4" x14ac:dyDescent="0.2">
      <c r="A55" s="6" t="s">
        <v>289</v>
      </c>
    </row>
    <row r="56" spans="1:4" ht="31.25" customHeight="1" x14ac:dyDescent="0.2">
      <c r="A56" s="7" t="s">
        <v>46</v>
      </c>
      <c r="B56" s="27" t="s">
        <v>290</v>
      </c>
      <c r="C56" s="28"/>
      <c r="D56" s="28"/>
    </row>
    <row r="57" spans="1:4" ht="31.25" customHeight="1" x14ac:dyDescent="0.2">
      <c r="A57" s="7" t="s">
        <v>48</v>
      </c>
      <c r="B57" s="27" t="s">
        <v>291</v>
      </c>
      <c r="C57" s="28"/>
      <c r="D57" s="28"/>
    </row>
    <row r="58" spans="1:4" ht="31.25" customHeight="1" x14ac:dyDescent="0.2">
      <c r="A58" s="7" t="s">
        <v>50</v>
      </c>
      <c r="B58" s="27" t="s">
        <v>292</v>
      </c>
      <c r="C58" s="28"/>
      <c r="D58" s="28"/>
    </row>
    <row r="59" spans="1:4" ht="15.5" customHeight="1" x14ac:dyDescent="0.2">
      <c r="A59" s="7" t="s">
        <v>52</v>
      </c>
      <c r="B59" s="27" t="s">
        <v>293</v>
      </c>
      <c r="C59" s="28"/>
      <c r="D59" s="28"/>
    </row>
    <row r="60" spans="1:4" ht="15.5" customHeight="1" x14ac:dyDescent="0.2">
      <c r="A60" s="7" t="s">
        <v>54</v>
      </c>
      <c r="B60" s="27" t="s">
        <v>294</v>
      </c>
      <c r="C60" s="28"/>
      <c r="D60" s="28"/>
    </row>
    <row r="61" spans="1:4" x14ac:dyDescent="0.2">
      <c r="A61" s="8" t="s">
        <v>295</v>
      </c>
      <c r="B61" s="8" t="s">
        <v>250</v>
      </c>
      <c r="C61" s="8" t="s">
        <v>228</v>
      </c>
      <c r="D61" s="8" t="s">
        <v>179</v>
      </c>
    </row>
    <row r="62" spans="1:4" x14ac:dyDescent="0.2">
      <c r="A62">
        <v>1</v>
      </c>
      <c r="B62" s="9">
        <v>0.5</v>
      </c>
      <c r="C62" t="s">
        <v>296</v>
      </c>
      <c r="D62" t="s">
        <v>21</v>
      </c>
    </row>
    <row r="63" spans="1:4" x14ac:dyDescent="0.2">
      <c r="A63">
        <v>2</v>
      </c>
      <c r="B63" s="9">
        <v>0.75</v>
      </c>
      <c r="C63" t="s">
        <v>297</v>
      </c>
      <c r="D63" t="s">
        <v>21</v>
      </c>
    </row>
    <row r="64" spans="1:4" x14ac:dyDescent="0.2">
      <c r="A64">
        <v>3</v>
      </c>
      <c r="B64" s="9">
        <v>1</v>
      </c>
      <c r="C64" t="s">
        <v>298</v>
      </c>
      <c r="D64" t="s">
        <v>21</v>
      </c>
    </row>
    <row r="65" spans="1:7" x14ac:dyDescent="0.2">
      <c r="A65">
        <v>4</v>
      </c>
      <c r="B65" s="9">
        <v>1</v>
      </c>
      <c r="C65" t="s">
        <v>299</v>
      </c>
      <c r="D65" t="s">
        <v>21</v>
      </c>
    </row>
    <row r="66" spans="1:7" x14ac:dyDescent="0.2">
      <c r="A66">
        <v>5</v>
      </c>
      <c r="B66" s="9">
        <v>1</v>
      </c>
      <c r="C66" t="s">
        <v>299</v>
      </c>
      <c r="D66" t="s">
        <v>21</v>
      </c>
    </row>
    <row r="69" spans="1:7" x14ac:dyDescent="0.2">
      <c r="A69" s="6" t="s">
        <v>300</v>
      </c>
    </row>
    <row r="70" spans="1:7" ht="15.5" customHeight="1" x14ac:dyDescent="0.2">
      <c r="A70" s="7" t="s">
        <v>46</v>
      </c>
      <c r="B70" s="27" t="s">
        <v>301</v>
      </c>
      <c r="C70" s="28"/>
      <c r="D70" s="28"/>
      <c r="E70" s="28"/>
      <c r="F70" s="28"/>
      <c r="G70" s="28"/>
    </row>
    <row r="71" spans="1:7" ht="15.5" customHeight="1" x14ac:dyDescent="0.2">
      <c r="A71" s="7" t="s">
        <v>48</v>
      </c>
      <c r="B71" s="27" t="s">
        <v>302</v>
      </c>
      <c r="C71" s="28"/>
      <c r="D71" s="28"/>
      <c r="E71" s="28"/>
      <c r="F71" s="28"/>
      <c r="G71" s="28"/>
    </row>
    <row r="72" spans="1:7" ht="46.75" customHeight="1" x14ac:dyDescent="0.2">
      <c r="A72" s="7" t="s">
        <v>50</v>
      </c>
      <c r="B72" s="27" t="s">
        <v>303</v>
      </c>
      <c r="C72" s="28"/>
      <c r="D72" s="28"/>
      <c r="E72" s="28"/>
      <c r="F72" s="28"/>
      <c r="G72" s="28"/>
    </row>
    <row r="73" spans="1:7" ht="15.5" customHeight="1" x14ac:dyDescent="0.2">
      <c r="A73" s="7" t="s">
        <v>52</v>
      </c>
      <c r="B73" s="27" t="s">
        <v>304</v>
      </c>
      <c r="C73" s="28"/>
      <c r="D73" s="28"/>
      <c r="E73" s="28"/>
      <c r="F73" s="28"/>
      <c r="G73" s="28"/>
    </row>
    <row r="74" spans="1:7" ht="15.5" customHeight="1" x14ac:dyDescent="0.2">
      <c r="A74" s="7" t="s">
        <v>54</v>
      </c>
      <c r="B74" s="27" t="s">
        <v>305</v>
      </c>
      <c r="C74" s="28"/>
      <c r="D74" s="28"/>
      <c r="E74" s="28"/>
      <c r="F74" s="28"/>
      <c r="G74" s="28"/>
    </row>
    <row r="75" spans="1:7" x14ac:dyDescent="0.2">
      <c r="A75" s="8" t="s">
        <v>306</v>
      </c>
      <c r="B75" s="8" t="s">
        <v>307</v>
      </c>
      <c r="C75" s="8" t="s">
        <v>308</v>
      </c>
      <c r="D75" s="8" t="s">
        <v>309</v>
      </c>
      <c r="E75" s="8" t="s">
        <v>310</v>
      </c>
      <c r="F75" s="8" t="s">
        <v>311</v>
      </c>
      <c r="G75" s="8" t="s">
        <v>179</v>
      </c>
    </row>
    <row r="76" spans="1:7" x14ac:dyDescent="0.2">
      <c r="A76" t="s">
        <v>312</v>
      </c>
      <c r="B76" t="s">
        <v>107</v>
      </c>
      <c r="C76">
        <v>30</v>
      </c>
      <c r="D76">
        <v>2</v>
      </c>
      <c r="E76" s="15">
        <v>1000</v>
      </c>
      <c r="F76">
        <v>42</v>
      </c>
    </row>
    <row r="77" spans="1:7" x14ac:dyDescent="0.2">
      <c r="A77" t="s">
        <v>313</v>
      </c>
      <c r="B77" t="s">
        <v>107</v>
      </c>
      <c r="C77">
        <v>7</v>
      </c>
      <c r="D77">
        <v>2</v>
      </c>
      <c r="E77" s="15">
        <v>1000</v>
      </c>
      <c r="F77">
        <v>42</v>
      </c>
    </row>
    <row r="78" spans="1:7" x14ac:dyDescent="0.2">
      <c r="A78" t="s">
        <v>61</v>
      </c>
      <c r="B78" t="s">
        <v>314</v>
      </c>
      <c r="C78">
        <v>1</v>
      </c>
      <c r="D78">
        <v>10</v>
      </c>
      <c r="E78" s="15">
        <v>10</v>
      </c>
      <c r="F78">
        <v>1</v>
      </c>
    </row>
    <row r="80" spans="1:7" x14ac:dyDescent="0.2">
      <c r="A80" s="6" t="s">
        <v>315</v>
      </c>
    </row>
    <row r="81" spans="1:5" ht="15.5" customHeight="1" x14ac:dyDescent="0.2">
      <c r="A81" s="7" t="s">
        <v>46</v>
      </c>
      <c r="B81" s="27" t="s">
        <v>316</v>
      </c>
      <c r="C81" s="28"/>
      <c r="D81" s="28"/>
      <c r="E81" s="28"/>
    </row>
    <row r="82" spans="1:5" ht="15.5" customHeight="1" x14ac:dyDescent="0.2">
      <c r="A82" s="7" t="s">
        <v>48</v>
      </c>
      <c r="B82" s="27" t="s">
        <v>317</v>
      </c>
      <c r="C82" s="28"/>
      <c r="D82" s="28"/>
      <c r="E82" s="28"/>
    </row>
    <row r="83" spans="1:5" ht="46.75" customHeight="1" x14ac:dyDescent="0.2">
      <c r="A83" s="7" t="s">
        <v>50</v>
      </c>
      <c r="B83" s="27" t="s">
        <v>318</v>
      </c>
      <c r="C83" s="28"/>
      <c r="D83" s="28"/>
      <c r="E83" s="28"/>
    </row>
    <row r="84" spans="1:5" ht="15.5" customHeight="1" x14ac:dyDescent="0.2">
      <c r="A84" s="7" t="s">
        <v>52</v>
      </c>
      <c r="B84" s="27" t="s">
        <v>319</v>
      </c>
      <c r="C84" s="28"/>
      <c r="D84" s="28"/>
      <c r="E84" s="28"/>
    </row>
    <row r="85" spans="1:5" ht="15.5" customHeight="1" x14ac:dyDescent="0.2">
      <c r="A85" s="7" t="s">
        <v>54</v>
      </c>
      <c r="B85" s="27" t="s">
        <v>320</v>
      </c>
      <c r="C85" s="28"/>
      <c r="D85" s="28"/>
      <c r="E85" s="28"/>
    </row>
    <row r="86" spans="1:5" x14ac:dyDescent="0.2">
      <c r="A86" s="8" t="s">
        <v>306</v>
      </c>
      <c r="B86" s="8" t="s">
        <v>321</v>
      </c>
      <c r="C86" s="8" t="s">
        <v>322</v>
      </c>
      <c r="D86" s="8" t="s">
        <v>323</v>
      </c>
      <c r="E86" s="8" t="s">
        <v>324</v>
      </c>
    </row>
    <row r="87" spans="1:5" x14ac:dyDescent="0.2">
      <c r="A87" t="s">
        <v>312</v>
      </c>
      <c r="B87" t="str">
        <f>IF(INDEX(TestOpt_Latency,1)&lt;=7,"ENABLED","BLOCKED")</f>
        <v>BLOCKED</v>
      </c>
      <c r="C87" t="str">
        <f>IF(INDEX(TestOpt_Latency,1)&lt;=7,"ENABLED","BLOCKED")</f>
        <v>BLOCKED</v>
      </c>
      <c r="D87" t="str">
        <f>IF(INDEX(TestOpt_Latency,1)&lt;=14,"ENABLED","BLOCKED")</f>
        <v>BLOCKED</v>
      </c>
      <c r="E87" t="str">
        <f>IF(INDEX(TestOpt_Latency,1)&lt;=3,"ENABLED","BLOCKED")</f>
        <v>BLOCKED</v>
      </c>
    </row>
    <row r="88" spans="1:5" x14ac:dyDescent="0.2">
      <c r="A88" t="s">
        <v>313</v>
      </c>
      <c r="B88" t="str">
        <f>IF(INDEX(TestOpt_Latency,2)&lt;=7,"ENABLED","BLOCKED")</f>
        <v>BLOCKED</v>
      </c>
      <c r="C88" t="str">
        <f>IF(INDEX(TestOpt_Latency,2)&lt;=7,"ENABLED","BLOCKED")</f>
        <v>BLOCKED</v>
      </c>
      <c r="D88" t="str">
        <f>IF(INDEX(TestOpt_Latency,2)&lt;=14,"ENABLED","BLOCKED")</f>
        <v>BLOCKED</v>
      </c>
      <c r="E88" t="str">
        <f>IF(INDEX(TestOpt_Latency,2)&lt;=3,"ENABLED","BLOCKED")</f>
        <v>BLOCKED</v>
      </c>
    </row>
    <row r="89" spans="1:5" x14ac:dyDescent="0.2">
      <c r="A89" t="s">
        <v>61</v>
      </c>
      <c r="B89" t="str">
        <f>IF(INDEX(TestOpt_Latency,3)&lt;=7,"ENABLED","BLOCKED")</f>
        <v>ENABLED</v>
      </c>
      <c r="C89" t="str">
        <f>IF(INDEX(TestOpt_Latency,3)&lt;=7,"ENABLED","BLOCKED")</f>
        <v>ENABLED</v>
      </c>
      <c r="D89" t="str">
        <f>IF(INDEX(TestOpt_Latency,3)&lt;=14,"ENABLED","BLOCKED")</f>
        <v>ENABLED</v>
      </c>
      <c r="E89" t="str">
        <f>IF(INDEX(TestOpt_Latency,3)&lt;=3,"ENABLED","BLOCKED")</f>
        <v>ENABLED</v>
      </c>
    </row>
    <row r="92" spans="1:5" ht="19" x14ac:dyDescent="0.25">
      <c r="A92" s="4" t="s">
        <v>325</v>
      </c>
    </row>
    <row r="93" spans="1:5" x14ac:dyDescent="0.2">
      <c r="A93" t="s">
        <v>326</v>
      </c>
      <c r="B93" t="s">
        <v>327</v>
      </c>
    </row>
    <row r="94" spans="1:5" x14ac:dyDescent="0.2">
      <c r="A94" t="s">
        <v>312</v>
      </c>
      <c r="B94" t="s">
        <v>65</v>
      </c>
    </row>
    <row r="95" spans="1:5" x14ac:dyDescent="0.2">
      <c r="A95" t="s">
        <v>313</v>
      </c>
      <c r="B95" t="s">
        <v>328</v>
      </c>
    </row>
    <row r="96" spans="1:5" x14ac:dyDescent="0.2">
      <c r="A96" t="s">
        <v>61</v>
      </c>
      <c r="B96" t="s">
        <v>329</v>
      </c>
    </row>
    <row r="98" spans="1:5" ht="19" x14ac:dyDescent="0.25">
      <c r="A98" s="4" t="s">
        <v>330</v>
      </c>
    </row>
    <row r="99" spans="1:5" x14ac:dyDescent="0.2">
      <c r="A99" t="s">
        <v>331</v>
      </c>
    </row>
    <row r="101" spans="1:5" x14ac:dyDescent="0.2">
      <c r="A101" s="6" t="s">
        <v>332</v>
      </c>
    </row>
    <row r="102" spans="1:5" ht="15.5" customHeight="1" x14ac:dyDescent="0.2">
      <c r="A102" s="7" t="s">
        <v>46</v>
      </c>
      <c r="B102" s="27" t="s">
        <v>333</v>
      </c>
      <c r="C102" s="28"/>
      <c r="D102" s="28"/>
      <c r="E102" s="28"/>
    </row>
    <row r="103" spans="1:5" ht="15.5" customHeight="1" x14ac:dyDescent="0.2">
      <c r="A103" s="7" t="s">
        <v>48</v>
      </c>
      <c r="B103" s="27" t="s">
        <v>334</v>
      </c>
      <c r="C103" s="28"/>
      <c r="D103" s="28"/>
      <c r="E103" s="28"/>
    </row>
    <row r="104" spans="1:5" ht="31.25" customHeight="1" x14ac:dyDescent="0.2">
      <c r="A104" s="7" t="s">
        <v>50</v>
      </c>
      <c r="B104" s="27" t="s">
        <v>335</v>
      </c>
      <c r="C104" s="28"/>
      <c r="D104" s="28"/>
      <c r="E104" s="28"/>
    </row>
    <row r="105" spans="1:5" ht="15.5" customHeight="1" x14ac:dyDescent="0.2">
      <c r="A105" s="7" t="s">
        <v>52</v>
      </c>
      <c r="B105" s="27" t="s">
        <v>336</v>
      </c>
      <c r="C105" s="28"/>
      <c r="D105" s="28"/>
      <c r="E105" s="28"/>
    </row>
    <row r="106" spans="1:5" ht="15.5" customHeight="1" x14ac:dyDescent="0.2">
      <c r="A106" s="7" t="s">
        <v>54</v>
      </c>
      <c r="B106" s="27" t="s">
        <v>337</v>
      </c>
      <c r="C106" s="28"/>
      <c r="D106" s="28"/>
      <c r="E106" s="28"/>
    </row>
    <row r="107" spans="1:5" x14ac:dyDescent="0.2">
      <c r="A107" s="8" t="s">
        <v>56</v>
      </c>
      <c r="B107" s="8" t="s">
        <v>57</v>
      </c>
      <c r="C107" s="8" t="s">
        <v>227</v>
      </c>
      <c r="D107" s="8" t="s">
        <v>228</v>
      </c>
      <c r="E107" s="8" t="s">
        <v>179</v>
      </c>
    </row>
    <row r="108" spans="1:5" x14ac:dyDescent="0.2">
      <c r="A108" t="s">
        <v>180</v>
      </c>
      <c r="B108" s="16">
        <v>63.1</v>
      </c>
      <c r="C108" t="s">
        <v>338</v>
      </c>
      <c r="D108" t="s">
        <v>339</v>
      </c>
      <c r="E108" t="s">
        <v>21</v>
      </c>
    </row>
    <row r="109" spans="1:5" x14ac:dyDescent="0.2">
      <c r="A109" t="s">
        <v>181</v>
      </c>
      <c r="B109" s="16">
        <v>50</v>
      </c>
      <c r="C109" t="s">
        <v>338</v>
      </c>
      <c r="D109" t="s">
        <v>340</v>
      </c>
      <c r="E109" t="s">
        <v>21</v>
      </c>
    </row>
    <row r="110" spans="1:5" x14ac:dyDescent="0.2">
      <c r="A110" t="s">
        <v>182</v>
      </c>
      <c r="B110" s="16">
        <v>0.53200000000000003</v>
      </c>
      <c r="C110" t="s">
        <v>341</v>
      </c>
      <c r="D110" t="s">
        <v>342</v>
      </c>
      <c r="E110" t="s">
        <v>21</v>
      </c>
    </row>
    <row r="111" spans="1:5" x14ac:dyDescent="0.2">
      <c r="A111" t="s">
        <v>183</v>
      </c>
      <c r="B111" s="16">
        <v>0.248</v>
      </c>
      <c r="C111" t="s">
        <v>341</v>
      </c>
      <c r="D111" t="s">
        <v>343</v>
      </c>
      <c r="E111" t="s">
        <v>21</v>
      </c>
    </row>
    <row r="112" spans="1:5" x14ac:dyDescent="0.2">
      <c r="A112" t="s">
        <v>184</v>
      </c>
      <c r="B112" s="9">
        <v>15</v>
      </c>
      <c r="C112" t="s">
        <v>240</v>
      </c>
      <c r="D112" t="s">
        <v>344</v>
      </c>
      <c r="E112" t="s">
        <v>21</v>
      </c>
    </row>
    <row r="113" spans="1:5" x14ac:dyDescent="0.2">
      <c r="A113" t="s">
        <v>185</v>
      </c>
      <c r="B113" s="9">
        <v>14</v>
      </c>
      <c r="C113" t="s">
        <v>240</v>
      </c>
      <c r="D113" t="s">
        <v>345</v>
      </c>
      <c r="E113" t="s">
        <v>21</v>
      </c>
    </row>
    <row r="114" spans="1:5" x14ac:dyDescent="0.2">
      <c r="A114" t="s">
        <v>346</v>
      </c>
      <c r="B114" s="9">
        <v>8772</v>
      </c>
      <c r="C114" t="s">
        <v>347</v>
      </c>
      <c r="D114" t="s">
        <v>348</v>
      </c>
    </row>
    <row r="117" spans="1:5" x14ac:dyDescent="0.2">
      <c r="A117" s="6" t="s">
        <v>349</v>
      </c>
    </row>
    <row r="118" spans="1:5" ht="31.25" customHeight="1" x14ac:dyDescent="0.2">
      <c r="A118" s="7" t="s">
        <v>46</v>
      </c>
      <c r="B118" s="27" t="s">
        <v>350</v>
      </c>
      <c r="C118" s="28"/>
      <c r="D118" s="28"/>
    </row>
    <row r="119" spans="1:5" ht="15.5" customHeight="1" x14ac:dyDescent="0.2">
      <c r="A119" s="7" t="s">
        <v>48</v>
      </c>
      <c r="B119" s="27" t="s">
        <v>351</v>
      </c>
      <c r="C119" s="28"/>
      <c r="D119" s="28"/>
    </row>
    <row r="120" spans="1:5" ht="31.25" customHeight="1" x14ac:dyDescent="0.2">
      <c r="A120" s="7" t="s">
        <v>50</v>
      </c>
      <c r="B120" s="27" t="s">
        <v>352</v>
      </c>
      <c r="C120" s="28"/>
      <c r="D120" s="28"/>
    </row>
    <row r="121" spans="1:5" ht="15.5" customHeight="1" x14ac:dyDescent="0.2">
      <c r="A121" s="7" t="s">
        <v>52</v>
      </c>
      <c r="B121" s="27" t="s">
        <v>353</v>
      </c>
      <c r="C121" s="28"/>
      <c r="D121" s="28"/>
    </row>
    <row r="122" spans="1:5" ht="15.5" customHeight="1" x14ac:dyDescent="0.2">
      <c r="A122" s="7" t="s">
        <v>54</v>
      </c>
      <c r="B122" s="27" t="s">
        <v>264</v>
      </c>
      <c r="C122" s="28"/>
      <c r="D122" s="28"/>
    </row>
    <row r="123" spans="1:5" x14ac:dyDescent="0.2">
      <c r="A123" s="8" t="s">
        <v>354</v>
      </c>
      <c r="B123" s="8" t="s">
        <v>355</v>
      </c>
      <c r="C123" s="8" t="s">
        <v>356</v>
      </c>
      <c r="D123" s="8" t="s">
        <v>228</v>
      </c>
    </row>
    <row r="124" spans="1:5" x14ac:dyDescent="0.2">
      <c r="A124" t="s">
        <v>357</v>
      </c>
      <c r="B124" s="9">
        <v>14</v>
      </c>
      <c r="C124" t="s">
        <v>358</v>
      </c>
      <c r="D124" t="s">
        <v>359</v>
      </c>
    </row>
    <row r="125" spans="1:5" x14ac:dyDescent="0.2">
      <c r="A125" t="s">
        <v>360</v>
      </c>
      <c r="B125" s="9">
        <v>28</v>
      </c>
      <c r="C125" t="s">
        <v>361</v>
      </c>
      <c r="D125" t="s">
        <v>362</v>
      </c>
    </row>
    <row r="126" spans="1:5" x14ac:dyDescent="0.2">
      <c r="A126" t="s">
        <v>363</v>
      </c>
      <c r="B126" s="9">
        <v>42</v>
      </c>
      <c r="C126" t="s">
        <v>364</v>
      </c>
      <c r="D126" t="s">
        <v>365</v>
      </c>
    </row>
  </sheetData>
  <mergeCells count="45">
    <mergeCell ref="B121:D121"/>
    <mergeCell ref="B59:D59"/>
    <mergeCell ref="B8:E8"/>
    <mergeCell ref="B46:D46"/>
    <mergeCell ref="B122:D122"/>
    <mergeCell ref="B82:E82"/>
    <mergeCell ref="B71:G71"/>
    <mergeCell ref="B18:D18"/>
    <mergeCell ref="B56:D56"/>
    <mergeCell ref="B58:D58"/>
    <mergeCell ref="B21:D21"/>
    <mergeCell ref="B103:E103"/>
    <mergeCell ref="B34:E34"/>
    <mergeCell ref="B70:G70"/>
    <mergeCell ref="B48:D48"/>
    <mergeCell ref="B84:E84"/>
    <mergeCell ref="B4:E4"/>
    <mergeCell ref="B106:E106"/>
    <mergeCell ref="B118:D118"/>
    <mergeCell ref="B7:E7"/>
    <mergeCell ref="B74:G74"/>
    <mergeCell ref="B81:E81"/>
    <mergeCell ref="B20:D20"/>
    <mergeCell ref="B31:E31"/>
    <mergeCell ref="B102:E102"/>
    <mergeCell ref="B105:E105"/>
    <mergeCell ref="B45:D45"/>
    <mergeCell ref="B47:D47"/>
    <mergeCell ref="B72:G72"/>
    <mergeCell ref="B5:E5"/>
    <mergeCell ref="B73:G73"/>
    <mergeCell ref="B85:E85"/>
    <mergeCell ref="B32:E32"/>
    <mergeCell ref="B19:D19"/>
    <mergeCell ref="B35:E35"/>
    <mergeCell ref="B120:D120"/>
    <mergeCell ref="B60:D60"/>
    <mergeCell ref="B83:E83"/>
    <mergeCell ref="B57:D57"/>
    <mergeCell ref="B6:E6"/>
    <mergeCell ref="B17:D17"/>
    <mergeCell ref="B119:D119"/>
    <mergeCell ref="B33:E33"/>
    <mergeCell ref="B104:E104"/>
    <mergeCell ref="B44:D44"/>
  </mergeCells>
  <pageMargins left="0.75" right="0.75" top="1" bottom="1" header="0.5" footer="0.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25"/>
  <sheetViews>
    <sheetView workbookViewId="0"/>
  </sheetViews>
  <sheetFormatPr baseColWidth="10" defaultColWidth="8.83203125" defaultRowHeight="15" x14ac:dyDescent="0.2"/>
  <cols>
    <col min="1" max="1" width="12" customWidth="1"/>
    <col min="2" max="2" width="22" customWidth="1"/>
    <col min="3" max="3" width="14" customWidth="1"/>
    <col min="4" max="4" width="24" customWidth="1"/>
    <col min="5" max="5" width="40" customWidth="1"/>
  </cols>
  <sheetData>
    <row r="1" spans="1:5" ht="21" x14ac:dyDescent="0.25">
      <c r="A1" s="5" t="s">
        <v>366</v>
      </c>
    </row>
    <row r="3" spans="1:5" x14ac:dyDescent="0.2">
      <c r="A3" s="6" t="s">
        <v>366</v>
      </c>
    </row>
    <row r="4" spans="1:5" ht="31.25" customHeight="1" x14ac:dyDescent="0.2">
      <c r="A4" s="7" t="s">
        <v>46</v>
      </c>
      <c r="B4" s="27" t="s">
        <v>367</v>
      </c>
      <c r="C4" s="28"/>
      <c r="D4" s="28"/>
      <c r="E4" s="28"/>
    </row>
    <row r="5" spans="1:5" ht="31.25" customHeight="1" x14ac:dyDescent="0.2">
      <c r="A5" s="7" t="s">
        <v>48</v>
      </c>
      <c r="B5" s="27" t="s">
        <v>368</v>
      </c>
      <c r="C5" s="28"/>
      <c r="D5" s="28"/>
      <c r="E5" s="28"/>
    </row>
    <row r="6" spans="1:5" ht="62.5" customHeight="1" x14ac:dyDescent="0.2">
      <c r="A6" s="7" t="s">
        <v>50</v>
      </c>
      <c r="B6" s="27" t="s">
        <v>369</v>
      </c>
      <c r="C6" s="28"/>
      <c r="D6" s="28"/>
      <c r="E6" s="28"/>
    </row>
    <row r="7" spans="1:5" ht="15.5" customHeight="1" x14ac:dyDescent="0.2">
      <c r="A7" s="7" t="s">
        <v>52</v>
      </c>
      <c r="B7" s="27" t="s">
        <v>370</v>
      </c>
      <c r="C7" s="28"/>
      <c r="D7" s="28"/>
      <c r="E7" s="28"/>
    </row>
    <row r="8" spans="1:5" ht="15.5" customHeight="1" x14ac:dyDescent="0.2">
      <c r="A8" s="7" t="s">
        <v>54</v>
      </c>
      <c r="B8" s="27" t="s">
        <v>371</v>
      </c>
      <c r="C8" s="28"/>
      <c r="D8" s="28"/>
      <c r="E8" s="28"/>
    </row>
    <row r="9" spans="1:5" x14ac:dyDescent="0.2">
      <c r="A9" s="8" t="s">
        <v>372</v>
      </c>
      <c r="B9" s="8" t="s">
        <v>373</v>
      </c>
      <c r="C9" s="8" t="s">
        <v>374</v>
      </c>
      <c r="D9" s="8" t="s">
        <v>375</v>
      </c>
      <c r="E9" s="8" t="s">
        <v>59</v>
      </c>
    </row>
    <row r="10" spans="1:5" x14ac:dyDescent="0.2">
      <c r="A10" t="s">
        <v>376</v>
      </c>
      <c r="B10" t="s">
        <v>377</v>
      </c>
      <c r="C10" s="14">
        <v>104000</v>
      </c>
      <c r="D10">
        <v>7</v>
      </c>
      <c r="E10" t="s">
        <v>378</v>
      </c>
    </row>
    <row r="11" spans="1:5" x14ac:dyDescent="0.2">
      <c r="A11" t="s">
        <v>379</v>
      </c>
      <c r="B11" t="s">
        <v>380</v>
      </c>
      <c r="C11" s="14">
        <v>67500</v>
      </c>
      <c r="D11">
        <v>7</v>
      </c>
      <c r="E11" t="s">
        <v>381</v>
      </c>
    </row>
    <row r="12" spans="1:5" x14ac:dyDescent="0.2">
      <c r="A12" t="s">
        <v>382</v>
      </c>
      <c r="B12" t="s">
        <v>383</v>
      </c>
      <c r="C12" s="14">
        <v>78000</v>
      </c>
      <c r="D12">
        <v>14</v>
      </c>
      <c r="E12" t="s">
        <v>384</v>
      </c>
    </row>
    <row r="13" spans="1:5" x14ac:dyDescent="0.2">
      <c r="A13" t="s">
        <v>385</v>
      </c>
      <c r="B13" t="s">
        <v>386</v>
      </c>
      <c r="C13" s="14">
        <v>36000</v>
      </c>
      <c r="D13">
        <v>3</v>
      </c>
      <c r="E13" t="s">
        <v>387</v>
      </c>
    </row>
    <row r="16" spans="1:5" x14ac:dyDescent="0.2">
      <c r="A16" s="6" t="s">
        <v>388</v>
      </c>
    </row>
    <row r="17" spans="1:4" ht="31.25" customHeight="1" x14ac:dyDescent="0.2">
      <c r="A17" s="7" t="s">
        <v>46</v>
      </c>
      <c r="B17" s="27" t="s">
        <v>389</v>
      </c>
      <c r="C17" s="28"/>
      <c r="D17" s="28"/>
    </row>
    <row r="18" spans="1:4" ht="31.25" customHeight="1" x14ac:dyDescent="0.2">
      <c r="A18" s="7" t="s">
        <v>48</v>
      </c>
      <c r="B18" s="27" t="s">
        <v>390</v>
      </c>
      <c r="C18" s="28"/>
      <c r="D18" s="28"/>
    </row>
    <row r="19" spans="1:4" ht="78" customHeight="1" x14ac:dyDescent="0.2">
      <c r="A19" s="7" t="s">
        <v>50</v>
      </c>
      <c r="B19" s="27" t="s">
        <v>391</v>
      </c>
      <c r="C19" s="28"/>
      <c r="D19" s="28"/>
    </row>
    <row r="20" spans="1:4" ht="31.25" customHeight="1" x14ac:dyDescent="0.2">
      <c r="A20" s="7" t="s">
        <v>52</v>
      </c>
      <c r="B20" s="27" t="s">
        <v>392</v>
      </c>
      <c r="C20" s="28"/>
      <c r="D20" s="28"/>
    </row>
    <row r="21" spans="1:4" ht="15.5" customHeight="1" x14ac:dyDescent="0.2">
      <c r="A21" s="7" t="s">
        <v>54</v>
      </c>
      <c r="B21" s="27" t="s">
        <v>393</v>
      </c>
      <c r="C21" s="28"/>
      <c r="D21" s="28"/>
    </row>
    <row r="22" spans="1:4" x14ac:dyDescent="0.2">
      <c r="A22" s="8" t="s">
        <v>93</v>
      </c>
      <c r="B22" s="8" t="s">
        <v>394</v>
      </c>
      <c r="C22" s="8" t="s">
        <v>395</v>
      </c>
      <c r="D22" s="8" t="s">
        <v>396</v>
      </c>
    </row>
    <row r="23" spans="1:4" x14ac:dyDescent="0.2">
      <c r="A23" t="s">
        <v>65</v>
      </c>
      <c r="B23" s="10">
        <v>0</v>
      </c>
      <c r="C23" s="10">
        <v>0</v>
      </c>
      <c r="D23" s="10">
        <v>0</v>
      </c>
    </row>
    <row r="24" spans="1:4" x14ac:dyDescent="0.2">
      <c r="A24" t="s">
        <v>328</v>
      </c>
      <c r="B24" s="10">
        <v>4.0000000000000001E-3</v>
      </c>
      <c r="C24" s="10">
        <v>-0.02</v>
      </c>
      <c r="D24" s="10">
        <v>0.1</v>
      </c>
    </row>
    <row r="25" spans="1:4" x14ac:dyDescent="0.2">
      <c r="A25" t="s">
        <v>329</v>
      </c>
      <c r="B25" s="10">
        <v>-3.0000000000000001E-3</v>
      </c>
      <c r="C25" s="10">
        <v>0.01</v>
      </c>
      <c r="D25" s="10">
        <v>-0.1</v>
      </c>
    </row>
  </sheetData>
  <mergeCells count="10">
    <mergeCell ref="B21:D21"/>
    <mergeCell ref="B5:E5"/>
    <mergeCell ref="B20:D20"/>
    <mergeCell ref="B19:D19"/>
    <mergeCell ref="B8:E8"/>
    <mergeCell ref="B4:E4"/>
    <mergeCell ref="B6:E6"/>
    <mergeCell ref="B17:D17"/>
    <mergeCell ref="B18:D18"/>
    <mergeCell ref="B7:E7"/>
  </mergeCells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35"/>
  <sheetViews>
    <sheetView workbookViewId="0"/>
  </sheetViews>
  <sheetFormatPr baseColWidth="10" defaultColWidth="8.83203125" defaultRowHeight="15" x14ac:dyDescent="0.2"/>
  <cols>
    <col min="1" max="1" width="28" customWidth="1"/>
    <col min="2" max="5" width="12" customWidth="1"/>
    <col min="6" max="6" width="30" customWidth="1"/>
    <col min="7" max="7" width="35" customWidth="1"/>
  </cols>
  <sheetData>
    <row r="1" spans="1:6" ht="21" x14ac:dyDescent="0.25">
      <c r="A1" s="5" t="s">
        <v>397</v>
      </c>
    </row>
    <row r="3" spans="1:6" x14ac:dyDescent="0.2">
      <c r="A3" s="6" t="s">
        <v>398</v>
      </c>
    </row>
    <row r="4" spans="1:6" ht="31.25" customHeight="1" x14ac:dyDescent="0.2">
      <c r="A4" s="7" t="s">
        <v>46</v>
      </c>
      <c r="B4" s="27" t="s">
        <v>399</v>
      </c>
      <c r="C4" s="28"/>
      <c r="D4" s="28"/>
      <c r="E4" s="28"/>
      <c r="F4" s="28"/>
    </row>
    <row r="5" spans="1:6" ht="31.25" customHeight="1" x14ac:dyDescent="0.2">
      <c r="A5" s="7" t="s">
        <v>48</v>
      </c>
      <c r="B5" s="27" t="s">
        <v>400</v>
      </c>
      <c r="C5" s="28"/>
      <c r="D5" s="28"/>
      <c r="E5" s="28"/>
      <c r="F5" s="28"/>
    </row>
    <row r="6" spans="1:6" ht="62.5" customHeight="1" x14ac:dyDescent="0.2">
      <c r="A6" s="7" t="s">
        <v>50</v>
      </c>
      <c r="B6" s="27" t="s">
        <v>401</v>
      </c>
      <c r="C6" s="28"/>
      <c r="D6" s="28"/>
      <c r="E6" s="28"/>
      <c r="F6" s="28"/>
    </row>
    <row r="7" spans="1:6" ht="15.5" customHeight="1" x14ac:dyDescent="0.2">
      <c r="A7" s="7" t="s">
        <v>52</v>
      </c>
      <c r="B7" s="27" t="s">
        <v>402</v>
      </c>
      <c r="C7" s="28"/>
      <c r="D7" s="28"/>
      <c r="E7" s="28"/>
      <c r="F7" s="28"/>
    </row>
    <row r="8" spans="1:6" ht="15.5" customHeight="1" x14ac:dyDescent="0.2">
      <c r="A8" s="7" t="s">
        <v>54</v>
      </c>
      <c r="B8" s="27" t="s">
        <v>403</v>
      </c>
      <c r="C8" s="28"/>
      <c r="D8" s="28"/>
      <c r="E8" s="28"/>
      <c r="F8" s="28"/>
    </row>
    <row r="9" spans="1:6" x14ac:dyDescent="0.2">
      <c r="A9" s="8" t="s">
        <v>404</v>
      </c>
      <c r="B9" s="8" t="s">
        <v>405</v>
      </c>
      <c r="C9" s="8" t="s">
        <v>406</v>
      </c>
      <c r="D9" s="8" t="s">
        <v>407</v>
      </c>
      <c r="E9" s="8" t="s">
        <v>408</v>
      </c>
      <c r="F9" s="8" t="s">
        <v>179</v>
      </c>
    </row>
    <row r="10" spans="1:6" x14ac:dyDescent="0.2">
      <c r="A10" t="s">
        <v>409</v>
      </c>
      <c r="B10" s="9">
        <v>14</v>
      </c>
      <c r="C10" s="9">
        <v>21</v>
      </c>
      <c r="D10" s="9">
        <v>35</v>
      </c>
      <c r="E10" t="s">
        <v>240</v>
      </c>
      <c r="F10" t="s">
        <v>23</v>
      </c>
    </row>
    <row r="11" spans="1:6" x14ac:dyDescent="0.2">
      <c r="A11" t="s">
        <v>410</v>
      </c>
      <c r="B11" s="14">
        <v>3000</v>
      </c>
      <c r="C11" s="14">
        <v>7500</v>
      </c>
      <c r="D11" s="14">
        <v>15000</v>
      </c>
      <c r="E11" t="s">
        <v>285</v>
      </c>
      <c r="F11" t="s">
        <v>23</v>
      </c>
    </row>
    <row r="12" spans="1:6" x14ac:dyDescent="0.2">
      <c r="A12" t="s">
        <v>411</v>
      </c>
      <c r="B12" s="9">
        <v>1</v>
      </c>
      <c r="C12" s="9">
        <v>3</v>
      </c>
      <c r="D12" s="9">
        <v>8</v>
      </c>
      <c r="E12" t="s">
        <v>412</v>
      </c>
      <c r="F12" t="s">
        <v>23</v>
      </c>
    </row>
    <row r="13" spans="1:6" x14ac:dyDescent="0.2">
      <c r="A13" t="s">
        <v>413</v>
      </c>
      <c r="B13" s="9">
        <v>0.7</v>
      </c>
      <c r="C13" s="9">
        <v>1</v>
      </c>
      <c r="D13" s="9">
        <v>1.3</v>
      </c>
      <c r="E13" t="s">
        <v>414</v>
      </c>
      <c r="F13" t="s">
        <v>23</v>
      </c>
    </row>
    <row r="16" spans="1:6" x14ac:dyDescent="0.2">
      <c r="A16" s="6" t="s">
        <v>415</v>
      </c>
    </row>
    <row r="17" spans="1:7" ht="15.5" customHeight="1" x14ac:dyDescent="0.2">
      <c r="A17" s="7" t="s">
        <v>46</v>
      </c>
      <c r="B17" s="27" t="s">
        <v>416</v>
      </c>
      <c r="C17" s="28"/>
      <c r="D17" s="28"/>
      <c r="E17" s="28"/>
      <c r="F17" s="28"/>
      <c r="G17" s="28"/>
    </row>
    <row r="18" spans="1:7" ht="15.5" customHeight="1" x14ac:dyDescent="0.2">
      <c r="A18" s="7" t="s">
        <v>48</v>
      </c>
      <c r="B18" s="27" t="s">
        <v>417</v>
      </c>
      <c r="C18" s="28"/>
      <c r="D18" s="28"/>
      <c r="E18" s="28"/>
      <c r="F18" s="28"/>
      <c r="G18" s="28"/>
    </row>
    <row r="19" spans="1:7" ht="46.75" customHeight="1" x14ac:dyDescent="0.2">
      <c r="A19" s="7" t="s">
        <v>50</v>
      </c>
      <c r="B19" s="27" t="s">
        <v>418</v>
      </c>
      <c r="C19" s="28"/>
      <c r="D19" s="28"/>
      <c r="E19" s="28"/>
      <c r="F19" s="28"/>
      <c r="G19" s="28"/>
    </row>
    <row r="20" spans="1:7" ht="15.5" customHeight="1" x14ac:dyDescent="0.2">
      <c r="A20" s="7" t="s">
        <v>52</v>
      </c>
      <c r="B20" s="27" t="s">
        <v>419</v>
      </c>
      <c r="C20" s="28"/>
      <c r="D20" s="28"/>
      <c r="E20" s="28"/>
      <c r="F20" s="28"/>
      <c r="G20" s="28"/>
    </row>
    <row r="21" spans="1:7" ht="15.5" customHeight="1" x14ac:dyDescent="0.2">
      <c r="A21" s="7" t="s">
        <v>54</v>
      </c>
      <c r="B21" s="27" t="s">
        <v>420</v>
      </c>
      <c r="C21" s="28"/>
      <c r="D21" s="28"/>
      <c r="E21" s="28"/>
      <c r="F21" s="28"/>
      <c r="G21" s="28"/>
    </row>
    <row r="22" spans="1:7" x14ac:dyDescent="0.2">
      <c r="A22" s="8" t="s">
        <v>404</v>
      </c>
      <c r="B22" s="8" t="s">
        <v>421</v>
      </c>
      <c r="C22" s="8" t="s">
        <v>422</v>
      </c>
      <c r="D22" s="8" t="s">
        <v>405</v>
      </c>
      <c r="E22" s="8" t="s">
        <v>407</v>
      </c>
      <c r="F22" s="8" t="s">
        <v>408</v>
      </c>
      <c r="G22" s="8" t="s">
        <v>179</v>
      </c>
    </row>
    <row r="23" spans="1:7" x14ac:dyDescent="0.2">
      <c r="A23" t="s">
        <v>423</v>
      </c>
      <c r="B23" s="9">
        <v>2</v>
      </c>
      <c r="C23" s="9">
        <v>5</v>
      </c>
      <c r="D23" s="9">
        <v>0.05</v>
      </c>
      <c r="E23" s="9">
        <v>0.4</v>
      </c>
      <c r="F23" t="s">
        <v>424</v>
      </c>
    </row>
    <row r="26" spans="1:7" x14ac:dyDescent="0.2">
      <c r="A26" s="6" t="s">
        <v>425</v>
      </c>
    </row>
    <row r="27" spans="1:7" ht="31.25" customHeight="1" x14ac:dyDescent="0.2">
      <c r="A27" s="7" t="s">
        <v>46</v>
      </c>
      <c r="B27" s="27" t="s">
        <v>426</v>
      </c>
      <c r="C27" s="28"/>
      <c r="D27" s="28"/>
      <c r="E27" s="28"/>
    </row>
    <row r="28" spans="1:7" ht="31.25" customHeight="1" x14ac:dyDescent="0.2">
      <c r="A28" s="7" t="s">
        <v>48</v>
      </c>
      <c r="B28" s="27" t="s">
        <v>427</v>
      </c>
      <c r="C28" s="28"/>
      <c r="D28" s="28"/>
      <c r="E28" s="28"/>
    </row>
    <row r="29" spans="1:7" ht="124.75" customHeight="1" x14ac:dyDescent="0.2">
      <c r="A29" s="7" t="s">
        <v>50</v>
      </c>
      <c r="B29" s="27" t="s">
        <v>428</v>
      </c>
      <c r="C29" s="28"/>
      <c r="D29" s="28"/>
      <c r="E29" s="28"/>
    </row>
    <row r="30" spans="1:7" ht="31.25" customHeight="1" x14ac:dyDescent="0.2">
      <c r="A30" s="7" t="s">
        <v>52</v>
      </c>
      <c r="B30" s="27" t="s">
        <v>429</v>
      </c>
      <c r="C30" s="28"/>
      <c r="D30" s="28"/>
      <c r="E30" s="28"/>
    </row>
    <row r="31" spans="1:7" ht="15.5" customHeight="1" x14ac:dyDescent="0.2">
      <c r="A31" s="7" t="s">
        <v>54</v>
      </c>
      <c r="B31" s="27" t="s">
        <v>430</v>
      </c>
      <c r="C31" s="28"/>
      <c r="D31" s="28"/>
      <c r="E31" s="28"/>
    </row>
    <row r="32" spans="1:7" x14ac:dyDescent="0.2">
      <c r="A32" s="8" t="s">
        <v>431</v>
      </c>
      <c r="B32" s="8" t="s">
        <v>432</v>
      </c>
      <c r="C32" s="8" t="s">
        <v>65</v>
      </c>
      <c r="D32" s="8" t="s">
        <v>433</v>
      </c>
      <c r="E32" s="8" t="s">
        <v>434</v>
      </c>
    </row>
    <row r="33" spans="1:5" x14ac:dyDescent="0.2">
      <c r="A33" t="s">
        <v>435</v>
      </c>
      <c r="B33" s="14">
        <v>3</v>
      </c>
      <c r="C33" s="14">
        <v>5</v>
      </c>
      <c r="D33" s="14">
        <v>8</v>
      </c>
      <c r="E33" t="s">
        <v>436</v>
      </c>
    </row>
    <row r="34" spans="1:5" x14ac:dyDescent="0.2">
      <c r="A34" t="s">
        <v>437</v>
      </c>
      <c r="B34" s="14">
        <v>10</v>
      </c>
      <c r="C34" s="14">
        <v>20</v>
      </c>
      <c r="D34" s="14">
        <v>30</v>
      </c>
      <c r="E34" t="s">
        <v>438</v>
      </c>
    </row>
    <row r="35" spans="1:5" x14ac:dyDescent="0.2">
      <c r="A35" t="s">
        <v>439</v>
      </c>
      <c r="B35" s="14">
        <v>21</v>
      </c>
      <c r="C35" s="14">
        <v>50</v>
      </c>
      <c r="D35" s="14">
        <v>93</v>
      </c>
      <c r="E35" t="s">
        <v>440</v>
      </c>
    </row>
  </sheetData>
  <mergeCells count="15">
    <mergeCell ref="B31:E31"/>
    <mergeCell ref="B6:F6"/>
    <mergeCell ref="B17:G17"/>
    <mergeCell ref="B30:E30"/>
    <mergeCell ref="B5:F5"/>
    <mergeCell ref="B29:E29"/>
    <mergeCell ref="B18:G18"/>
    <mergeCell ref="B8:F8"/>
    <mergeCell ref="B21:G21"/>
    <mergeCell ref="B28:E28"/>
    <mergeCell ref="B4:F4"/>
    <mergeCell ref="B19:G19"/>
    <mergeCell ref="B20:G20"/>
    <mergeCell ref="B27:E27"/>
    <mergeCell ref="B7:F7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E30"/>
  <sheetViews>
    <sheetView workbookViewId="0"/>
  </sheetViews>
  <sheetFormatPr baseColWidth="10" defaultColWidth="8.83203125" defaultRowHeight="15" x14ac:dyDescent="0.2"/>
  <cols>
    <col min="1" max="1" width="20" customWidth="1"/>
    <col min="2" max="2" width="36" customWidth="1"/>
    <col min="3" max="3" width="16" customWidth="1"/>
    <col min="4" max="4" width="12" customWidth="1"/>
    <col min="5" max="5" width="14" customWidth="1"/>
  </cols>
  <sheetData>
    <row r="1" spans="1:5" ht="21" x14ac:dyDescent="0.25">
      <c r="A1" s="5" t="s">
        <v>441</v>
      </c>
    </row>
    <row r="3" spans="1:5" x14ac:dyDescent="0.2">
      <c r="A3" s="32" t="s">
        <v>442</v>
      </c>
      <c r="B3" s="30"/>
      <c r="C3" s="30"/>
      <c r="D3" s="30"/>
      <c r="E3" s="31"/>
    </row>
    <row r="4" spans="1:5" ht="140.5" customHeight="1" x14ac:dyDescent="0.2">
      <c r="A4" s="29" t="s">
        <v>443</v>
      </c>
      <c r="B4" s="30"/>
      <c r="C4" s="30"/>
      <c r="D4" s="30"/>
      <c r="E4" s="31"/>
    </row>
    <row r="6" spans="1:5" x14ac:dyDescent="0.2">
      <c r="A6" s="6" t="s">
        <v>441</v>
      </c>
    </row>
    <row r="7" spans="1:5" ht="31.25" customHeight="1" x14ac:dyDescent="0.2">
      <c r="A7" s="7" t="s">
        <v>46</v>
      </c>
      <c r="B7" s="27" t="s">
        <v>444</v>
      </c>
      <c r="C7" s="28"/>
      <c r="D7" s="28"/>
      <c r="E7" s="28"/>
    </row>
    <row r="8" spans="1:5" ht="15.5" customHeight="1" x14ac:dyDescent="0.2">
      <c r="A8" s="7" t="s">
        <v>48</v>
      </c>
      <c r="B8" s="27" t="s">
        <v>445</v>
      </c>
      <c r="C8" s="28"/>
      <c r="D8" s="28"/>
      <c r="E8" s="28"/>
    </row>
    <row r="9" spans="1:5" ht="46.75" customHeight="1" x14ac:dyDescent="0.2">
      <c r="A9" s="7" t="s">
        <v>50</v>
      </c>
      <c r="B9" s="27" t="s">
        <v>446</v>
      </c>
      <c r="C9" s="28"/>
      <c r="D9" s="28"/>
      <c r="E9" s="28"/>
    </row>
    <row r="10" spans="1:5" ht="15.5" customHeight="1" x14ac:dyDescent="0.2">
      <c r="A10" s="7" t="s">
        <v>52</v>
      </c>
      <c r="B10" s="27" t="s">
        <v>447</v>
      </c>
      <c r="C10" s="28"/>
      <c r="D10" s="28"/>
      <c r="E10" s="28"/>
    </row>
    <row r="11" spans="1:5" ht="15.5" customHeight="1" x14ac:dyDescent="0.2">
      <c r="A11" s="7" t="s">
        <v>54</v>
      </c>
      <c r="B11" s="27" t="s">
        <v>448</v>
      </c>
      <c r="C11" s="28"/>
      <c r="D11" s="28"/>
      <c r="E11" s="28"/>
    </row>
    <row r="12" spans="1:5" x14ac:dyDescent="0.2">
      <c r="A12" s="8" t="s">
        <v>449</v>
      </c>
      <c r="B12" s="8" t="s">
        <v>450</v>
      </c>
      <c r="C12" s="8" t="s">
        <v>239</v>
      </c>
      <c r="D12" s="8" t="s">
        <v>451</v>
      </c>
      <c r="E12" s="8" t="s">
        <v>452</v>
      </c>
    </row>
    <row r="13" spans="1:5" x14ac:dyDescent="0.2">
      <c r="A13">
        <v>0</v>
      </c>
      <c r="B13">
        <f>Base_Year+0</f>
        <v>2026</v>
      </c>
      <c r="C13">
        <f t="shared" ref="C13:C18" si="0">Season_Length</f>
        <v>100</v>
      </c>
      <c r="D13">
        <v>1</v>
      </c>
      <c r="E13">
        <v>1</v>
      </c>
    </row>
    <row r="14" spans="1:5" x14ac:dyDescent="0.2">
      <c r="A14">
        <v>1</v>
      </c>
      <c r="B14">
        <f>Base_Year+1</f>
        <v>2027</v>
      </c>
      <c r="C14">
        <f t="shared" si="0"/>
        <v>100</v>
      </c>
      <c r="D14">
        <f>1/(1+Discount_Rate)^1</f>
        <v>0.95419847328244267</v>
      </c>
      <c r="E14">
        <f>INDEX(LearningCurve_Mult,1)</f>
        <v>0.5</v>
      </c>
    </row>
    <row r="15" spans="1:5" x14ac:dyDescent="0.2">
      <c r="A15">
        <v>2</v>
      </c>
      <c r="B15">
        <f>Base_Year+2</f>
        <v>2028</v>
      </c>
      <c r="C15">
        <f t="shared" si="0"/>
        <v>100</v>
      </c>
      <c r="D15">
        <f>1/(1+Discount_Rate)^2</f>
        <v>0.91049472641454443</v>
      </c>
      <c r="E15">
        <f>INDEX(LearningCurve_Mult,2)</f>
        <v>0.75</v>
      </c>
    </row>
    <row r="16" spans="1:5" x14ac:dyDescent="0.2">
      <c r="A16">
        <v>3</v>
      </c>
      <c r="B16">
        <f>Base_Year+3</f>
        <v>2029</v>
      </c>
      <c r="C16">
        <f t="shared" si="0"/>
        <v>100</v>
      </c>
      <c r="D16">
        <f>1/(1+Discount_Rate)^3</f>
        <v>0.86879267787647374</v>
      </c>
      <c r="E16">
        <f>INDEX(LearningCurve_Mult,3)</f>
        <v>1</v>
      </c>
    </row>
    <row r="17" spans="1:5" x14ac:dyDescent="0.2">
      <c r="A17">
        <v>4</v>
      </c>
      <c r="B17">
        <f>Base_Year+4</f>
        <v>2030</v>
      </c>
      <c r="C17">
        <f t="shared" si="0"/>
        <v>100</v>
      </c>
      <c r="D17">
        <f>1/(1+Discount_Rate)^4</f>
        <v>0.82900064682869612</v>
      </c>
      <c r="E17">
        <f>INDEX(LearningCurve_Mult,4)</f>
        <v>1</v>
      </c>
    </row>
    <row r="18" spans="1:5" x14ac:dyDescent="0.2">
      <c r="A18">
        <v>5</v>
      </c>
      <c r="B18">
        <f>Base_Year+5</f>
        <v>2031</v>
      </c>
      <c r="C18">
        <f t="shared" si="0"/>
        <v>100</v>
      </c>
      <c r="D18">
        <f>1/(1+Discount_Rate)^5</f>
        <v>0.79103115155409931</v>
      </c>
      <c r="E18">
        <f>INDEX(LearningCurve_Mult,5)</f>
        <v>1</v>
      </c>
    </row>
    <row r="21" spans="1:5" ht="19" x14ac:dyDescent="0.25">
      <c r="A21" s="4" t="s">
        <v>453</v>
      </c>
    </row>
    <row r="22" spans="1:5" x14ac:dyDescent="0.2">
      <c r="A22" s="17" t="s">
        <v>454</v>
      </c>
    </row>
    <row r="23" spans="1:5" x14ac:dyDescent="0.2">
      <c r="A23" s="8" t="s">
        <v>455</v>
      </c>
      <c r="B23" s="8" t="s">
        <v>456</v>
      </c>
      <c r="C23" s="8" t="s">
        <v>57</v>
      </c>
      <c r="D23" s="8" t="s">
        <v>227</v>
      </c>
    </row>
    <row r="24" spans="1:5" x14ac:dyDescent="0.2">
      <c r="A24" t="s">
        <v>206</v>
      </c>
      <c r="B24" t="s">
        <v>457</v>
      </c>
      <c r="C24" s="18">
        <f ca="1">Rapid_Phase_Rate*Stoch_TreatmentRate</f>
        <v>0.52616311797843596</v>
      </c>
      <c r="D24" t="s">
        <v>341</v>
      </c>
    </row>
    <row r="25" spans="1:5" x14ac:dyDescent="0.2">
      <c r="A25" t="s">
        <v>207</v>
      </c>
      <c r="B25" t="s">
        <v>458</v>
      </c>
      <c r="C25" s="18">
        <f ca="1">Slow_Phase_Rate*Stoch_TreatmentRate</f>
        <v>0.24527904747866938</v>
      </c>
      <c r="D25" t="s">
        <v>341</v>
      </c>
    </row>
    <row r="26" spans="1:5" x14ac:dyDescent="0.2">
      <c r="A26" t="s">
        <v>208</v>
      </c>
      <c r="B26" t="s">
        <v>459</v>
      </c>
      <c r="C26" s="19">
        <f ca="1">MAX(0,Initial_NAFC-Eff_Rapid_Rate*Rapid_Phase_Duration)</f>
        <v>55.207553230323462</v>
      </c>
      <c r="D26" t="s">
        <v>338</v>
      </c>
    </row>
    <row r="27" spans="1:5" x14ac:dyDescent="0.2">
      <c r="A27" t="s">
        <v>209</v>
      </c>
      <c r="B27" t="s">
        <v>460</v>
      </c>
      <c r="C27" s="20">
        <f ca="1">IF(Initial_NAFC&lt;=Target_NAFC,0,IF(NAFC_After_Rapid&lt;=Target_NAFC,(Initial_NAFC-Target_NAFC)/Eff_Rapid_Rate,Rapid_Phase_Duration+(NAFC_After_Rapid-Target_NAFC)/Eff_Slow_Rate))</f>
        <v>36.231137693391176</v>
      </c>
      <c r="D27" t="s">
        <v>240</v>
      </c>
    </row>
    <row r="28" spans="1:5" x14ac:dyDescent="0.2">
      <c r="A28" t="s">
        <v>461</v>
      </c>
      <c r="B28" t="s">
        <v>462</v>
      </c>
      <c r="C28" s="21">
        <f ca="1">CEILING(Days_to_Compliance/Recirculation_Cycle,1)</f>
        <v>3</v>
      </c>
      <c r="D28" t="s">
        <v>463</v>
      </c>
    </row>
    <row r="29" spans="1:5" x14ac:dyDescent="0.2">
      <c r="A29" t="s">
        <v>464</v>
      </c>
      <c r="B29" t="s">
        <v>465</v>
      </c>
      <c r="C29" s="22">
        <f>(Initial_NAFC-Target_NAFC)/Initial_NAFC</f>
        <v>0.2076069730586371</v>
      </c>
      <c r="D29" t="s">
        <v>424</v>
      </c>
    </row>
    <row r="30" spans="1:5" x14ac:dyDescent="0.2">
      <c r="A30" t="s">
        <v>466</v>
      </c>
      <c r="B30" t="s">
        <v>467</v>
      </c>
      <c r="C30" t="str">
        <f ca="1">IF(Days_to_Compliance&lt;=Season_Length,"ACHIEVABLE","EXCEEDS SEASON")</f>
        <v>ACHIEVABLE</v>
      </c>
      <c r="D30" t="s">
        <v>468</v>
      </c>
    </row>
  </sheetData>
  <mergeCells count="7">
    <mergeCell ref="A3:E3"/>
    <mergeCell ref="B9:E9"/>
    <mergeCell ref="A4:E4"/>
    <mergeCell ref="B8:E8"/>
    <mergeCell ref="B7:E7"/>
    <mergeCell ref="B11:E11"/>
    <mergeCell ref="B10:E10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C18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ht="21" x14ac:dyDescent="0.25">
      <c r="A1" s="5" t="s">
        <v>469</v>
      </c>
    </row>
    <row r="2" spans="1:3" x14ac:dyDescent="0.2">
      <c r="A2" s="12" t="s">
        <v>470</v>
      </c>
    </row>
    <row r="4" spans="1:3" x14ac:dyDescent="0.2">
      <c r="A4" s="32" t="s">
        <v>471</v>
      </c>
      <c r="B4" s="30"/>
      <c r="C4" s="31"/>
    </row>
    <row r="5" spans="1:3" ht="202.75" customHeight="1" x14ac:dyDescent="0.2">
      <c r="A5" s="29" t="s">
        <v>472</v>
      </c>
      <c r="B5" s="30"/>
      <c r="C5" s="31"/>
    </row>
    <row r="7" spans="1:3" x14ac:dyDescent="0.2">
      <c r="A7" s="6" t="s">
        <v>469</v>
      </c>
    </row>
    <row r="8" spans="1:3" ht="31.25" customHeight="1" x14ac:dyDescent="0.2">
      <c r="A8" s="7" t="s">
        <v>46</v>
      </c>
      <c r="B8" s="27" t="s">
        <v>473</v>
      </c>
      <c r="C8" s="28"/>
    </row>
    <row r="9" spans="1:3" ht="15.5" customHeight="1" x14ac:dyDescent="0.2">
      <c r="A9" s="7" t="s">
        <v>48</v>
      </c>
      <c r="B9" s="27" t="s">
        <v>474</v>
      </c>
      <c r="C9" s="28"/>
    </row>
    <row r="10" spans="1:3" ht="46.75" customHeight="1" x14ac:dyDescent="0.2">
      <c r="A10" s="7" t="s">
        <v>50</v>
      </c>
      <c r="B10" s="27" t="s">
        <v>475</v>
      </c>
      <c r="C10" s="28"/>
    </row>
    <row r="11" spans="1:3" ht="15.5" customHeight="1" x14ac:dyDescent="0.2">
      <c r="A11" s="7" t="s">
        <v>52</v>
      </c>
      <c r="B11" s="27" t="s">
        <v>476</v>
      </c>
      <c r="C11" s="28"/>
    </row>
    <row r="12" spans="1:3" ht="15.5" customHeight="1" x14ac:dyDescent="0.2">
      <c r="A12" s="7" t="s">
        <v>54</v>
      </c>
      <c r="B12" s="27" t="s">
        <v>477</v>
      </c>
      <c r="C12" s="28"/>
    </row>
    <row r="13" spans="1:3" x14ac:dyDescent="0.2">
      <c r="A13" s="8" t="s">
        <v>404</v>
      </c>
      <c r="B13" s="8" t="s">
        <v>478</v>
      </c>
      <c r="C13" s="8" t="s">
        <v>479</v>
      </c>
    </row>
    <row r="14" spans="1:3" x14ac:dyDescent="0.2">
      <c r="A14" t="s">
        <v>480</v>
      </c>
      <c r="B14">
        <f ca="1">RAND()</f>
        <v>0.82259678116842416</v>
      </c>
      <c r="C14">
        <f ca="1">IF(B14&lt;(Tri_Season_Extension_Days_Mode-Tri_Season_Extension_Days_Min)/(Tri_Season_Extension_Days_Max-Tri_Season_Extension_Days_Min),Tri_Season_Extension_Days_Min+SQRT(B14*(Tri_Season_Extension_Days_Max-Tri_Season_Extension_Days_Min)*(Tri_Season_Extension_Days_Mode-Tri_Season_Extension_Days_Min)),Tri_Season_Extension_Days_Max-SQRT((1-B14)*(Tri_Season_Extension_Days_Max-Tri_Season_Extension_Days_Min)*(Tri_Season_Extension_Days_Max-Tri_Season_Extension_Days_Mode)))</f>
        <v>27.778051070764672</v>
      </c>
    </row>
    <row r="15" spans="1:3" x14ac:dyDescent="0.2">
      <c r="A15" t="s">
        <v>481</v>
      </c>
      <c r="B15">
        <f ca="1">RAND()</f>
        <v>0.87243478791525308</v>
      </c>
      <c r="C15">
        <f ca="1">IF(B15&lt;(Tri_Extension_Value_Per_Day_Mode-Tri_Extension_Value_Per_Day_Min)/(Tri_Extension_Value_Per_Day_Max-Tri_Extension_Value_Per_Day_Min),Tri_Extension_Value_Per_Day_Min+SQRT(B15*(Tri_Extension_Value_Per_Day_Max-Tri_Extension_Value_Per_Day_Min)*(Tri_Extension_Value_Per_Day_Mode-Tri_Extension_Value_Per_Day_Min)),Tri_Extension_Value_Per_Day_Max-SQRT((1-B15)*(Tri_Extension_Value_Per_Day_Max-Tri_Extension_Value_Per_Day_Min)*(Tri_Extension_Value_Per_Day_Max-Tri_Extension_Value_Per_Day_Mode)))</f>
        <v>11611.656881656283</v>
      </c>
    </row>
    <row r="16" spans="1:3" x14ac:dyDescent="0.2">
      <c r="A16" t="s">
        <v>411</v>
      </c>
      <c r="B16">
        <f ca="1">RAND()</f>
        <v>0.70493412965861768</v>
      </c>
      <c r="C16">
        <f ca="1">IF(B16&lt;(Tri_Interventions_Avoided_Mode-Tri_Interventions_Avoided_Min)/(Tri_Interventions_Avoided_Max-Tri_Interventions_Avoided_Min),Tri_Interventions_Avoided_Min+SQRT(B16*(Tri_Interventions_Avoided_Max-Tri_Interventions_Avoided_Min)*(Tri_Interventions_Avoided_Mode-Tri_Interventions_Avoided_Min)),Tri_Interventions_Avoided_Max-SQRT((1-B16)*(Tri_Interventions_Avoided_Max-Tri_Interventions_Avoided_Min)*(Tri_Interventions_Avoided_Max-Tri_Interventions_Avoided_Mode)))</f>
        <v>4.7863874748270625</v>
      </c>
    </row>
    <row r="17" spans="1:3" x14ac:dyDescent="0.2">
      <c r="A17" t="s">
        <v>423</v>
      </c>
      <c r="B17">
        <f ca="1">RAND()</f>
        <v>0.67872908288284428</v>
      </c>
      <c r="C17">
        <f ca="1">Beta_Efficiency_Gain_Min+(Beta_Efficiency_Gain_Max-Beta_Efficiency_Gain_Min)*B17</f>
        <v>0.28755517900899552</v>
      </c>
    </row>
    <row r="18" spans="1:3" x14ac:dyDescent="0.2">
      <c r="A18" t="s">
        <v>413</v>
      </c>
      <c r="B18">
        <f ca="1">RAND()</f>
        <v>0.46409681099777933</v>
      </c>
      <c r="C18">
        <f ca="1">IF(B18&lt;(Tri_Treatment_Rate_Factor_Mode-Tri_Treatment_Rate_Factor_Min)/(Tri_Treatment_Rate_Factor_Max-Tri_Treatment_Rate_Factor_Min),Tri_Treatment_Rate_Factor_Min+SQRT(B18*(Tri_Treatment_Rate_Factor_Max-Tri_Treatment_Rate_Factor_Min)*(Tri_Treatment_Rate_Factor_Mode-Tri_Treatment_Rate_Factor_Min)),Tri_Treatment_Rate_Factor_Max-SQRT((1-B18)*(Tri_Treatment_Rate_Factor_Max-Tri_Treatment_Rate_Factor_Min)*(Tri_Treatment_Rate_Factor_Max-Tri_Treatment_Rate_Factor_Mode)))</f>
        <v>0.98902841725269908</v>
      </c>
    </row>
  </sheetData>
  <mergeCells count="7">
    <mergeCell ref="B12:C12"/>
    <mergeCell ref="A5:C5"/>
    <mergeCell ref="B11:C11"/>
    <mergeCell ref="B10:C10"/>
    <mergeCell ref="B9:C9"/>
    <mergeCell ref="A4:C4"/>
    <mergeCell ref="B8:C8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E18"/>
  <sheetViews>
    <sheetView workbookViewId="0"/>
  </sheetViews>
  <sheetFormatPr baseColWidth="10" defaultColWidth="8.83203125" defaultRowHeight="15" x14ac:dyDescent="0.2"/>
  <cols>
    <col min="1" max="1" width="28" customWidth="1"/>
    <col min="2" max="5" width="14" customWidth="1"/>
  </cols>
  <sheetData>
    <row r="1" spans="1:5" ht="21" x14ac:dyDescent="0.25">
      <c r="A1" s="5" t="s">
        <v>482</v>
      </c>
    </row>
    <row r="3" spans="1:5" x14ac:dyDescent="0.2">
      <c r="A3" s="32" t="s">
        <v>483</v>
      </c>
      <c r="B3" s="30"/>
      <c r="C3" s="30"/>
      <c r="D3" s="30"/>
      <c r="E3" s="31"/>
    </row>
    <row r="4" spans="1:5" ht="234" customHeight="1" x14ac:dyDescent="0.2">
      <c r="A4" s="29" t="s">
        <v>484</v>
      </c>
      <c r="B4" s="30"/>
      <c r="C4" s="30"/>
      <c r="D4" s="30"/>
      <c r="E4" s="31"/>
    </row>
    <row r="6" spans="1:5" x14ac:dyDescent="0.2">
      <c r="A6" s="6" t="s">
        <v>482</v>
      </c>
    </row>
    <row r="7" spans="1:5" ht="31.25" customHeight="1" x14ac:dyDescent="0.2">
      <c r="A7" s="7" t="s">
        <v>46</v>
      </c>
      <c r="B7" s="27" t="s">
        <v>485</v>
      </c>
      <c r="C7" s="28"/>
      <c r="D7" s="28"/>
      <c r="E7" s="28"/>
    </row>
    <row r="8" spans="1:5" ht="31.25" customHeight="1" x14ac:dyDescent="0.2">
      <c r="A8" s="7" t="s">
        <v>48</v>
      </c>
      <c r="B8" s="27" t="s">
        <v>486</v>
      </c>
      <c r="C8" s="28"/>
      <c r="D8" s="28"/>
      <c r="E8" s="28"/>
    </row>
    <row r="9" spans="1:5" ht="109.25" customHeight="1" x14ac:dyDescent="0.2">
      <c r="A9" s="7" t="s">
        <v>50</v>
      </c>
      <c r="B9" s="27" t="s">
        <v>487</v>
      </c>
      <c r="C9" s="28"/>
      <c r="D9" s="28"/>
      <c r="E9" s="28"/>
    </row>
    <row r="10" spans="1:5" ht="31.25" customHeight="1" x14ac:dyDescent="0.2">
      <c r="A10" s="7" t="s">
        <v>52</v>
      </c>
      <c r="B10" s="27" t="s">
        <v>488</v>
      </c>
      <c r="C10" s="28"/>
      <c r="D10" s="28"/>
      <c r="E10" s="28"/>
    </row>
    <row r="11" spans="1:5" ht="31.25" customHeight="1" x14ac:dyDescent="0.2">
      <c r="A11" s="7" t="s">
        <v>54</v>
      </c>
      <c r="B11" s="27" t="s">
        <v>489</v>
      </c>
      <c r="C11" s="28"/>
      <c r="D11" s="28"/>
      <c r="E11" s="28"/>
    </row>
    <row r="12" spans="1:5" x14ac:dyDescent="0.2">
      <c r="A12" s="8" t="s">
        <v>93</v>
      </c>
      <c r="B12" s="8" t="s">
        <v>374</v>
      </c>
      <c r="C12" s="8" t="s">
        <v>490</v>
      </c>
      <c r="D12" s="8" t="s">
        <v>491</v>
      </c>
      <c r="E12" s="8" t="s">
        <v>492</v>
      </c>
    </row>
    <row r="13" spans="1:5" x14ac:dyDescent="0.2">
      <c r="A13" t="s">
        <v>493</v>
      </c>
      <c r="B13">
        <f>INDEX(Scenario_BaseValues,1)</f>
        <v>104000</v>
      </c>
      <c r="C13" t="str">
        <f>INDEX(Gate_S1,MATCH(Testing_Option,TestOpt_Option,0))</f>
        <v>ENABLED</v>
      </c>
      <c r="D13">
        <f ca="1">Stoch_SeasonExt/21</f>
        <v>1.3227643367030797</v>
      </c>
      <c r="E13">
        <f ca="1">IF(C13="ENABLED",B13*D13,0)</f>
        <v>137567.49101712028</v>
      </c>
    </row>
    <row r="14" spans="1:5" x14ac:dyDescent="0.2">
      <c r="A14" t="s">
        <v>494</v>
      </c>
      <c r="B14">
        <f>INDEX(Scenario_BaseValues,2)</f>
        <v>67500</v>
      </c>
      <c r="C14" t="str">
        <f>INDEX(Gate_S2,MATCH(Testing_Option,TestOpt_Option,0))</f>
        <v>ENABLED</v>
      </c>
      <c r="D14">
        <f ca="1">Stoch_Interventions/3</f>
        <v>1.5954624916090208</v>
      </c>
      <c r="E14">
        <f ca="1">IF(C14="ENABLED",B14*D14,0)</f>
        <v>107693.7181836089</v>
      </c>
    </row>
    <row r="15" spans="1:5" x14ac:dyDescent="0.2">
      <c r="A15" t="s">
        <v>495</v>
      </c>
      <c r="B15">
        <f>INDEX(Scenario_BaseValues,3)</f>
        <v>78000</v>
      </c>
      <c r="C15" t="str">
        <f>INDEX(Gate_S3,MATCH(Testing_Option,TestOpt_Option,0))</f>
        <v>ENABLED</v>
      </c>
      <c r="D15">
        <f ca="1">Stoch_Efficiency/0.15</f>
        <v>1.9170345267266369</v>
      </c>
      <c r="E15">
        <f ca="1">IF(C15="ENABLED",B15*D15,0)</f>
        <v>149528.69308467768</v>
      </c>
    </row>
    <row r="16" spans="1:5" x14ac:dyDescent="0.2">
      <c r="A16" t="s">
        <v>496</v>
      </c>
      <c r="B16">
        <f>INDEX(Scenario_BaseValues,4)</f>
        <v>36000</v>
      </c>
      <c r="C16" t="str">
        <f>INDEX(Gate_S4,MATCH(Testing_Option,TestOpt_Option,0))</f>
        <v>ENABLED</v>
      </c>
      <c r="D16">
        <f ca="1">1+Stoch_Efficiency</f>
        <v>1.2875551790089954</v>
      </c>
      <c r="E16">
        <f ca="1">IF(C16="ENABLED",B16*D16,0)</f>
        <v>46351.986444323833</v>
      </c>
    </row>
    <row r="18" spans="1:5" x14ac:dyDescent="0.2">
      <c r="A18" s="11" t="s">
        <v>497</v>
      </c>
      <c r="E18" s="15">
        <f ca="1">SUM(E13:E16)</f>
        <v>441141.88872973068</v>
      </c>
    </row>
  </sheetData>
  <mergeCells count="7">
    <mergeCell ref="A3:E3"/>
    <mergeCell ref="B9:E9"/>
    <mergeCell ref="A4:E4"/>
    <mergeCell ref="B8:E8"/>
    <mergeCell ref="B7:E7"/>
    <mergeCell ref="B11:E11"/>
    <mergeCell ref="B10:E10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C19"/>
  <sheetViews>
    <sheetView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18" customWidth="1"/>
  </cols>
  <sheetData>
    <row r="1" spans="1:3" ht="21" x14ac:dyDescent="0.25">
      <c r="A1" s="5" t="s">
        <v>498</v>
      </c>
    </row>
    <row r="3" spans="1:3" x14ac:dyDescent="0.2">
      <c r="A3" s="32" t="s">
        <v>499</v>
      </c>
      <c r="B3" s="30"/>
      <c r="C3" s="31"/>
    </row>
    <row r="4" spans="1:3" ht="312" customHeight="1" x14ac:dyDescent="0.2">
      <c r="A4" s="29" t="s">
        <v>500</v>
      </c>
      <c r="B4" s="30"/>
      <c r="C4" s="31"/>
    </row>
    <row r="6" spans="1:3" x14ac:dyDescent="0.2">
      <c r="A6" s="6" t="s">
        <v>501</v>
      </c>
    </row>
    <row r="7" spans="1:3" ht="31.25" customHeight="1" x14ac:dyDescent="0.2">
      <c r="A7" s="7" t="s">
        <v>46</v>
      </c>
      <c r="B7" s="27" t="s">
        <v>502</v>
      </c>
      <c r="C7" s="28"/>
    </row>
    <row r="8" spans="1:3" ht="31.25" customHeight="1" x14ac:dyDescent="0.2">
      <c r="A8" s="7" t="s">
        <v>48</v>
      </c>
      <c r="B8" s="27" t="s">
        <v>503</v>
      </c>
      <c r="C8" s="28"/>
    </row>
    <row r="9" spans="1:3" ht="62.5" customHeight="1" x14ac:dyDescent="0.2">
      <c r="A9" s="7" t="s">
        <v>50</v>
      </c>
      <c r="B9" s="27" t="s">
        <v>504</v>
      </c>
      <c r="C9" s="28"/>
    </row>
    <row r="10" spans="1:3" ht="15.5" customHeight="1" x14ac:dyDescent="0.2">
      <c r="A10" s="7" t="s">
        <v>52</v>
      </c>
      <c r="B10" s="27" t="s">
        <v>505</v>
      </c>
      <c r="C10" s="28"/>
    </row>
    <row r="11" spans="1:3" ht="15.5" customHeight="1" x14ac:dyDescent="0.2">
      <c r="A11" s="7" t="s">
        <v>54</v>
      </c>
      <c r="B11" s="27" t="s">
        <v>506</v>
      </c>
      <c r="C11" s="28"/>
    </row>
    <row r="12" spans="1:3" x14ac:dyDescent="0.2">
      <c r="A12" s="8" t="s">
        <v>507</v>
      </c>
      <c r="B12" s="8" t="s">
        <v>456</v>
      </c>
      <c r="C12" s="8" t="s">
        <v>57</v>
      </c>
    </row>
    <row r="13" spans="1:3" x14ac:dyDescent="0.2">
      <c r="A13" t="s">
        <v>508</v>
      </c>
      <c r="B13" t="s">
        <v>60</v>
      </c>
      <c r="C13" t="str">
        <f>Testing_Option</f>
        <v>Daily_Biosensor</v>
      </c>
    </row>
    <row r="14" spans="1:3" x14ac:dyDescent="0.2">
      <c r="A14" t="s">
        <v>509</v>
      </c>
      <c r="B14" t="s">
        <v>510</v>
      </c>
      <c r="C14">
        <f>INDEX(TestOpt_Interval,MATCH(Testing_Option,TestOpt_Option,0))</f>
        <v>1</v>
      </c>
    </row>
    <row r="15" spans="1:3" x14ac:dyDescent="0.2">
      <c r="A15" t="s">
        <v>511</v>
      </c>
      <c r="B15" t="s">
        <v>510</v>
      </c>
      <c r="C15">
        <f>INDEX(TestOpt_Points,MATCH(Testing_Option,TestOpt_Option,0))</f>
        <v>10</v>
      </c>
    </row>
    <row r="16" spans="1:3" x14ac:dyDescent="0.2">
      <c r="A16" t="s">
        <v>310</v>
      </c>
      <c r="B16" t="s">
        <v>510</v>
      </c>
      <c r="C16" s="15">
        <f>INDEX(TestOpt_Cost,MATCH(Testing_Option,TestOpt_Option,0))</f>
        <v>10</v>
      </c>
    </row>
    <row r="17" spans="1:3" x14ac:dyDescent="0.2">
      <c r="A17" t="s">
        <v>512</v>
      </c>
      <c r="B17" t="s">
        <v>513</v>
      </c>
      <c r="C17">
        <f>Season_Length/C14</f>
        <v>100</v>
      </c>
    </row>
    <row r="18" spans="1:3" x14ac:dyDescent="0.2">
      <c r="A18" t="s">
        <v>514</v>
      </c>
      <c r="B18" t="s">
        <v>515</v>
      </c>
      <c r="C18">
        <f>C17*C15</f>
        <v>1000</v>
      </c>
    </row>
    <row r="19" spans="1:3" x14ac:dyDescent="0.2">
      <c r="A19" t="s">
        <v>516</v>
      </c>
      <c r="B19" t="s">
        <v>517</v>
      </c>
      <c r="C19" s="23">
        <f>C18*C16</f>
        <v>10000</v>
      </c>
    </row>
  </sheetData>
  <mergeCells count="7">
    <mergeCell ref="B7:C7"/>
    <mergeCell ref="B11:C11"/>
    <mergeCell ref="B10:C10"/>
    <mergeCell ref="A3:C3"/>
    <mergeCell ref="B9:C9"/>
    <mergeCell ref="A4:C4"/>
    <mergeCell ref="B8:C8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I1028"/>
  <sheetViews>
    <sheetView tabSelected="1" topLeftCell="A5" workbookViewId="0">
      <selection activeCell="M22" sqref="M22"/>
    </sheetView>
  </sheetViews>
  <sheetFormatPr baseColWidth="10" defaultColWidth="8.83203125" defaultRowHeight="15" x14ac:dyDescent="0.2"/>
  <cols>
    <col min="1" max="1" width="26" customWidth="1"/>
    <col min="2" max="8" width="14" customWidth="1"/>
    <col min="9" max="9" width="18" customWidth="1"/>
    <col min="11" max="11" width="8" customWidth="1"/>
  </cols>
  <sheetData>
    <row r="1" spans="1:9" ht="21" x14ac:dyDescent="0.25">
      <c r="A1" s="5" t="s">
        <v>518</v>
      </c>
    </row>
    <row r="3" spans="1:9" x14ac:dyDescent="0.2">
      <c r="A3" s="32" t="s">
        <v>519</v>
      </c>
      <c r="B3" s="30"/>
      <c r="C3" s="30"/>
      <c r="D3" s="30"/>
      <c r="E3" s="31"/>
    </row>
    <row r="4" spans="1:9" ht="374.5" customHeight="1" x14ac:dyDescent="0.2">
      <c r="A4" s="29" t="s">
        <v>520</v>
      </c>
      <c r="B4" s="30"/>
      <c r="C4" s="30"/>
      <c r="D4" s="30"/>
      <c r="E4" s="31"/>
    </row>
    <row r="7" spans="1:9" x14ac:dyDescent="0.2">
      <c r="A7" s="12" t="s">
        <v>521</v>
      </c>
    </row>
    <row r="8" spans="1:9" x14ac:dyDescent="0.2">
      <c r="A8" s="12" t="s">
        <v>522</v>
      </c>
    </row>
    <row r="9" spans="1:9" x14ac:dyDescent="0.2">
      <c r="A9" s="11" t="s">
        <v>523</v>
      </c>
      <c r="B9" s="11" t="s">
        <v>113</v>
      </c>
      <c r="C9" s="11" t="s">
        <v>376</v>
      </c>
      <c r="D9" s="11" t="s">
        <v>379</v>
      </c>
      <c r="E9" s="11" t="s">
        <v>382</v>
      </c>
      <c r="F9" s="11" t="s">
        <v>385</v>
      </c>
      <c r="G9" s="11" t="s">
        <v>524</v>
      </c>
      <c r="H9" s="11" t="s">
        <v>525</v>
      </c>
      <c r="I9" s="11" t="s">
        <v>209</v>
      </c>
    </row>
    <row r="10" spans="1:9" x14ac:dyDescent="0.2">
      <c r="B10" s="15">
        <f ca="1">NPV_Total</f>
        <v>1566101.0342443839</v>
      </c>
      <c r="C10" s="15">
        <f ca="1">S1_Value</f>
        <v>137567.49101712028</v>
      </c>
      <c r="D10" s="15">
        <f ca="1">S2_Value</f>
        <v>107693.7181836089</v>
      </c>
      <c r="E10" s="15">
        <f ca="1">S3_Value</f>
        <v>149528.69308467768</v>
      </c>
      <c r="F10" s="15">
        <f ca="1">S4_Value</f>
        <v>46351.986444323833</v>
      </c>
      <c r="G10" s="15">
        <f>Testing_Cost</f>
        <v>10000</v>
      </c>
      <c r="H10" s="15">
        <f ca="1">Gross_Value-Testing_Cost</f>
        <v>431141.88872973068</v>
      </c>
      <c r="I10" s="20">
        <f ca="1">Days_to_Compliance</f>
        <v>36.231137693391176</v>
      </c>
    </row>
    <row r="11" spans="1:9" x14ac:dyDescent="0.2">
      <c r="A11">
        <v>1</v>
      </c>
      <c r="B11">
        <f t="dataTable" ref="B11:I1010" dt2D="0" dtr="0" r1="O22" ca="1"/>
        <v>1072028.9848720161</v>
      </c>
      <c r="C11">
        <v>75772.767785256423</v>
      </c>
      <c r="D11">
        <v>153953.0724379968</v>
      </c>
      <c r="E11">
        <v>37418.612081139036</v>
      </c>
      <c r="F11">
        <v>38590.519297925013</v>
      </c>
      <c r="G11">
        <v>10000</v>
      </c>
      <c r="H11">
        <v>295734.9716023173</v>
      </c>
      <c r="I11">
        <v>33.030316200585993</v>
      </c>
    </row>
    <row r="12" spans="1:9" x14ac:dyDescent="0.2">
      <c r="A12">
        <v>2</v>
      </c>
      <c r="B12">
        <v>1548213.2496135444</v>
      </c>
      <c r="C12">
        <v>134757.3733400417</v>
      </c>
      <c r="D12">
        <v>59683.298754859636</v>
      </c>
      <c r="E12">
        <v>192473.73051879753</v>
      </c>
      <c r="F12">
        <v>49325.104420532138</v>
      </c>
      <c r="G12">
        <v>10000</v>
      </c>
      <c r="H12">
        <v>426239.50703423098</v>
      </c>
      <c r="I12">
        <v>43.549626812418907</v>
      </c>
    </row>
    <row r="13" spans="1:9" x14ac:dyDescent="0.2">
      <c r="A13">
        <v>3</v>
      </c>
      <c r="B13">
        <v>1036914.2067939545</v>
      </c>
      <c r="C13">
        <v>112378.98962018696</v>
      </c>
      <c r="D13">
        <v>58325.840744012276</v>
      </c>
      <c r="E13">
        <v>83617.567787738415</v>
      </c>
      <c r="F13">
        <v>41788.908539151125</v>
      </c>
      <c r="G13">
        <v>10000</v>
      </c>
      <c r="H13">
        <v>286111.30669108877</v>
      </c>
      <c r="I13">
        <v>36.836674132350801</v>
      </c>
    </row>
    <row r="14" spans="1:9" x14ac:dyDescent="0.2">
      <c r="A14">
        <v>4</v>
      </c>
      <c r="B14">
        <v>1448823.6993661039</v>
      </c>
      <c r="C14">
        <v>111398.85563633234</v>
      </c>
      <c r="D14">
        <v>110936.62860535255</v>
      </c>
      <c r="E14">
        <v>140909.72589790777</v>
      </c>
      <c r="F14">
        <v>45755.288716009003</v>
      </c>
      <c r="G14">
        <v>10000</v>
      </c>
      <c r="H14">
        <v>399000.49885560165</v>
      </c>
      <c r="I14">
        <v>35.979517436600759</v>
      </c>
    </row>
    <row r="15" spans="1:9" x14ac:dyDescent="0.2">
      <c r="A15">
        <v>5</v>
      </c>
      <c r="B15">
        <v>1230138.9358319093</v>
      </c>
      <c r="C15">
        <v>132260.75885446678</v>
      </c>
      <c r="D15">
        <v>138865.18422844546</v>
      </c>
      <c r="E15">
        <v>39225.518864811689</v>
      </c>
      <c r="F15">
        <v>38715.612844486961</v>
      </c>
      <c r="G15">
        <v>10000</v>
      </c>
      <c r="H15">
        <v>339067.07479221089</v>
      </c>
      <c r="I15">
        <v>34.584709808072816</v>
      </c>
    </row>
    <row r="16" spans="1:9" x14ac:dyDescent="0.2">
      <c r="A16">
        <v>6</v>
      </c>
      <c r="B16">
        <v>1113050.2949713245</v>
      </c>
      <c r="C16">
        <v>105591.11155545981</v>
      </c>
      <c r="D16">
        <v>59549.159792691826</v>
      </c>
      <c r="E16">
        <v>108336.88196288519</v>
      </c>
      <c r="F16">
        <v>43500.245674353588</v>
      </c>
      <c r="G16">
        <v>10000</v>
      </c>
      <c r="H16">
        <v>306977.39898539043</v>
      </c>
      <c r="I16">
        <v>40.646342807092104</v>
      </c>
    </row>
    <row r="17" spans="1:9" x14ac:dyDescent="0.2">
      <c r="A17">
        <v>7</v>
      </c>
      <c r="B17">
        <v>1138811.6302438483</v>
      </c>
      <c r="C17">
        <v>117918.04786945019</v>
      </c>
      <c r="D17">
        <v>83915.456617061995</v>
      </c>
      <c r="E17">
        <v>80622.563778007912</v>
      </c>
      <c r="F17">
        <v>41581.56210770824</v>
      </c>
      <c r="G17">
        <v>10000</v>
      </c>
      <c r="H17">
        <v>314037.63037222833</v>
      </c>
      <c r="I17">
        <v>36.731502380574639</v>
      </c>
    </row>
    <row r="18" spans="1:9" x14ac:dyDescent="0.2">
      <c r="A18">
        <v>8</v>
      </c>
      <c r="B18">
        <v>1339071.8980769319</v>
      </c>
      <c r="C18">
        <v>140194.70125561737</v>
      </c>
      <c r="D18">
        <v>117049.79277896113</v>
      </c>
      <c r="E18">
        <v>80129.648782772303</v>
      </c>
      <c r="F18">
        <v>41547.437223422698</v>
      </c>
      <c r="G18">
        <v>10000</v>
      </c>
      <c r="H18">
        <v>368921.58004077349</v>
      </c>
      <c r="I18">
        <v>24.147338930671353</v>
      </c>
    </row>
    <row r="19" spans="1:9" x14ac:dyDescent="0.2">
      <c r="A19">
        <v>9</v>
      </c>
      <c r="B19">
        <v>1312238.8171673082</v>
      </c>
      <c r="C19">
        <v>144628.12281986693</v>
      </c>
      <c r="D19">
        <v>58218.882988414327</v>
      </c>
      <c r="E19">
        <v>124127.19567561099</v>
      </c>
      <c r="F19">
        <v>44593.421239080759</v>
      </c>
      <c r="G19">
        <v>10000</v>
      </c>
      <c r="H19">
        <v>361567.622722973</v>
      </c>
      <c r="I19">
        <v>30.928137486724811</v>
      </c>
    </row>
    <row r="20" spans="1:9" x14ac:dyDescent="0.2">
      <c r="A20">
        <v>10</v>
      </c>
      <c r="B20">
        <v>1118899.853368771</v>
      </c>
      <c r="C20">
        <v>112661.07523024848</v>
      </c>
      <c r="D20">
        <v>88491.607919130547</v>
      </c>
      <c r="E20">
        <v>76155.556202820764</v>
      </c>
      <c r="F20">
        <v>41272.307737118361</v>
      </c>
      <c r="G20">
        <v>10000</v>
      </c>
      <c r="H20">
        <v>308580.54708931816</v>
      </c>
      <c r="I20">
        <v>28.920262686220802</v>
      </c>
    </row>
    <row r="21" spans="1:9" x14ac:dyDescent="0.2">
      <c r="A21">
        <v>11</v>
      </c>
      <c r="B21">
        <v>1445003.625962106</v>
      </c>
      <c r="C21">
        <v>110343.25402174168</v>
      </c>
      <c r="D21">
        <v>96876.293845847889</v>
      </c>
      <c r="E21">
        <v>154067.77897897668</v>
      </c>
      <c r="F21">
        <v>46666.230852390698</v>
      </c>
      <c r="G21">
        <v>10000</v>
      </c>
      <c r="H21">
        <v>397953.55769895698</v>
      </c>
      <c r="I21">
        <v>46.706028124687315</v>
      </c>
    </row>
    <row r="22" spans="1:9" x14ac:dyDescent="0.2">
      <c r="A22">
        <v>12</v>
      </c>
      <c r="B22">
        <v>985981.80461258208</v>
      </c>
      <c r="C22">
        <v>85486.405877140336</v>
      </c>
      <c r="D22">
        <v>124084.26990080485</v>
      </c>
      <c r="E22">
        <v>34213.324166636063</v>
      </c>
      <c r="F22">
        <v>38368.614749997883</v>
      </c>
      <c r="G22">
        <v>10000</v>
      </c>
      <c r="H22">
        <v>272152.61469457916</v>
      </c>
      <c r="I22">
        <v>44.45226382718316</v>
      </c>
    </row>
    <row r="23" spans="1:9" x14ac:dyDescent="0.2">
      <c r="A23">
        <v>13</v>
      </c>
      <c r="B23">
        <v>1216465.8873920999</v>
      </c>
      <c r="C23">
        <v>126251.89985342282</v>
      </c>
      <c r="D23">
        <v>70659.513857884565</v>
      </c>
      <c r="E23">
        <v>105130.14241959156</v>
      </c>
      <c r="F23">
        <v>43278.240629048647</v>
      </c>
      <c r="G23">
        <v>10000</v>
      </c>
      <c r="H23">
        <v>335319.79675994761</v>
      </c>
      <c r="I23">
        <v>32.872926375975176</v>
      </c>
    </row>
    <row r="24" spans="1:9" x14ac:dyDescent="0.2">
      <c r="A24">
        <v>14</v>
      </c>
      <c r="B24">
        <v>1371539.1195175685</v>
      </c>
      <c r="C24">
        <v>151604.34955415671</v>
      </c>
      <c r="D24">
        <v>110399.6633910488</v>
      </c>
      <c r="E24">
        <v>84000.233638798876</v>
      </c>
      <c r="F24">
        <v>41815.400790378386</v>
      </c>
      <c r="G24">
        <v>10000</v>
      </c>
      <c r="H24">
        <v>377819.64737438277</v>
      </c>
      <c r="I24">
        <v>31.636038983721246</v>
      </c>
    </row>
    <row r="25" spans="1:9" x14ac:dyDescent="0.2">
      <c r="A25">
        <v>15</v>
      </c>
      <c r="B25">
        <v>1604266.4814396459</v>
      </c>
      <c r="C25">
        <v>150136.7923068433</v>
      </c>
      <c r="D25">
        <v>64020.479379162993</v>
      </c>
      <c r="E25">
        <v>188401.19793135856</v>
      </c>
      <c r="F25">
        <v>49043.159856786362</v>
      </c>
      <c r="G25">
        <v>10000</v>
      </c>
      <c r="H25">
        <v>441601.62947415118</v>
      </c>
      <c r="I25">
        <v>24.682066629090478</v>
      </c>
    </row>
    <row r="26" spans="1:9" x14ac:dyDescent="0.2">
      <c r="A26">
        <v>16</v>
      </c>
      <c r="B26">
        <v>1516672.6955037089</v>
      </c>
      <c r="C26">
        <v>110347.97473324195</v>
      </c>
      <c r="D26">
        <v>106603.10294846498</v>
      </c>
      <c r="E26">
        <v>163336.42125287474</v>
      </c>
      <c r="F26">
        <v>47307.906086737486</v>
      </c>
      <c r="G26">
        <v>10000</v>
      </c>
      <c r="H26">
        <v>417595.40502131911</v>
      </c>
      <c r="I26">
        <v>38.583707663224303</v>
      </c>
    </row>
    <row r="27" spans="1:9" x14ac:dyDescent="0.2">
      <c r="A27">
        <v>17</v>
      </c>
      <c r="B27">
        <v>746703.33384354599</v>
      </c>
      <c r="C27">
        <v>106213.80388576763</v>
      </c>
      <c r="D27">
        <v>45811.761545039408</v>
      </c>
      <c r="E27">
        <v>26701.11148233058</v>
      </c>
      <c r="F27">
        <v>37848.538487238271</v>
      </c>
      <c r="G27">
        <v>10000</v>
      </c>
      <c r="H27">
        <v>206575.21540037589</v>
      </c>
      <c r="I27">
        <v>40.57204093528108</v>
      </c>
    </row>
    <row r="28" spans="1:9" x14ac:dyDescent="0.2">
      <c r="A28">
        <v>18</v>
      </c>
      <c r="B28">
        <v>1401698.3604449015</v>
      </c>
      <c r="C28">
        <v>115319.10041273253</v>
      </c>
      <c r="D28">
        <v>88688.200484998437</v>
      </c>
      <c r="E28">
        <v>145972.11940501147</v>
      </c>
      <c r="F28">
        <v>46105.762112654644</v>
      </c>
      <c r="G28">
        <v>10000</v>
      </c>
      <c r="H28">
        <v>386085.18241539708</v>
      </c>
      <c r="I28">
        <v>35.670035212120524</v>
      </c>
    </row>
    <row r="29" spans="1:9" x14ac:dyDescent="0.2">
      <c r="A29">
        <v>19</v>
      </c>
      <c r="B29">
        <v>1521404.6108776948</v>
      </c>
      <c r="C29">
        <v>122605.44780717148</v>
      </c>
      <c r="D29">
        <v>159438.25250750146</v>
      </c>
      <c r="E29">
        <v>103671.30397809528</v>
      </c>
      <c r="F29">
        <v>43177.244121560441</v>
      </c>
      <c r="G29">
        <v>10000</v>
      </c>
      <c r="H29">
        <v>418892.24841432867</v>
      </c>
      <c r="I29">
        <v>42.891093771413296</v>
      </c>
    </row>
    <row r="30" spans="1:9" x14ac:dyDescent="0.2">
      <c r="A30">
        <v>20</v>
      </c>
      <c r="B30">
        <v>1395885.7320112851</v>
      </c>
      <c r="C30">
        <v>105928.24015323579</v>
      </c>
      <c r="D30">
        <v>74001.223154493302</v>
      </c>
      <c r="E30">
        <v>167001.07898367613</v>
      </c>
      <c r="F30">
        <v>47561.613160408342</v>
      </c>
      <c r="G30">
        <v>10000</v>
      </c>
      <c r="H30">
        <v>384492.1554518136</v>
      </c>
      <c r="I30">
        <v>37.995344404333771</v>
      </c>
    </row>
    <row r="31" spans="1:9" x14ac:dyDescent="0.2">
      <c r="A31">
        <v>21</v>
      </c>
      <c r="B31">
        <v>1021647.0033517063</v>
      </c>
      <c r="C31">
        <v>126791.62098668305</v>
      </c>
      <c r="D31">
        <v>35649.04399518139</v>
      </c>
      <c r="E31">
        <v>87433.384173453989</v>
      </c>
      <c r="F31">
        <v>42053.08044277758</v>
      </c>
      <c r="G31">
        <v>10000</v>
      </c>
      <c r="H31">
        <v>281927.12959809601</v>
      </c>
      <c r="I31">
        <v>32.543221663168723</v>
      </c>
    </row>
    <row r="32" spans="1:9" x14ac:dyDescent="0.2">
      <c r="A32">
        <v>22</v>
      </c>
      <c r="B32">
        <v>1489778.9466686277</v>
      </c>
      <c r="C32">
        <v>120784.15637771037</v>
      </c>
      <c r="D32">
        <v>52142.019228122561</v>
      </c>
      <c r="E32">
        <v>197617.43801108556</v>
      </c>
      <c r="F32">
        <v>49681.207246921309</v>
      </c>
      <c r="G32">
        <v>10000</v>
      </c>
      <c r="H32">
        <v>410224.82086383982</v>
      </c>
      <c r="I32">
        <v>33.365897233425429</v>
      </c>
    </row>
    <row r="33" spans="1:9" x14ac:dyDescent="0.2">
      <c r="A33">
        <v>23</v>
      </c>
      <c r="B33">
        <v>1354726.7550758109</v>
      </c>
      <c r="C33">
        <v>103496.3523390136</v>
      </c>
      <c r="D33">
        <v>117135.2861728407</v>
      </c>
      <c r="E33">
        <v>118384.5094994423</v>
      </c>
      <c r="F33">
        <v>44195.850657653697</v>
      </c>
      <c r="G33">
        <v>10000</v>
      </c>
      <c r="H33">
        <v>373211.99866895028</v>
      </c>
      <c r="I33">
        <v>32.391140626686081</v>
      </c>
    </row>
    <row r="34" spans="1:9" x14ac:dyDescent="0.2">
      <c r="A34">
        <v>24</v>
      </c>
      <c r="B34">
        <v>921630.67583992239</v>
      </c>
      <c r="C34">
        <v>105647.50424759772</v>
      </c>
      <c r="D34">
        <v>70147.910269163811</v>
      </c>
      <c r="E34">
        <v>49307.344962583251</v>
      </c>
      <c r="F34">
        <v>39413.585420486532</v>
      </c>
      <c r="G34">
        <v>10000</v>
      </c>
      <c r="H34">
        <v>254516.34489983134</v>
      </c>
      <c r="I34">
        <v>37.10143438827302</v>
      </c>
    </row>
    <row r="35" spans="1:9" x14ac:dyDescent="0.2">
      <c r="A35">
        <v>25</v>
      </c>
      <c r="B35">
        <v>1415425.5749644856</v>
      </c>
      <c r="C35">
        <v>104503.00667506487</v>
      </c>
      <c r="D35">
        <v>101647.02191301528</v>
      </c>
      <c r="E35">
        <v>147486.66173975836</v>
      </c>
      <c r="F35">
        <v>46210.615043521735</v>
      </c>
      <c r="G35">
        <v>10000</v>
      </c>
      <c r="H35">
        <v>389847.30537136027</v>
      </c>
      <c r="I35">
        <v>46.387540115946408</v>
      </c>
    </row>
    <row r="36" spans="1:9" x14ac:dyDescent="0.2">
      <c r="A36">
        <v>26</v>
      </c>
      <c r="B36">
        <v>1050438.5618181734</v>
      </c>
      <c r="C36">
        <v>85680.674087969353</v>
      </c>
      <c r="D36">
        <v>111532.53106414451</v>
      </c>
      <c r="E36">
        <v>62292.098309921748</v>
      </c>
      <c r="F36">
        <v>40312.529882994582</v>
      </c>
      <c r="G36">
        <v>10000</v>
      </c>
      <c r="H36">
        <v>289817.8333450302</v>
      </c>
      <c r="I36">
        <v>30.483402765441355</v>
      </c>
    </row>
    <row r="37" spans="1:9" x14ac:dyDescent="0.2">
      <c r="A37">
        <v>27</v>
      </c>
      <c r="B37">
        <v>1230982.6436091396</v>
      </c>
      <c r="C37">
        <v>123570.82988386443</v>
      </c>
      <c r="D37">
        <v>110883.27514825223</v>
      </c>
      <c r="E37">
        <v>73739.178853921403</v>
      </c>
      <c r="F37">
        <v>41105.020074502252</v>
      </c>
      <c r="G37">
        <v>10000</v>
      </c>
      <c r="H37">
        <v>339298.30396054033</v>
      </c>
      <c r="I37">
        <v>30.561740598501604</v>
      </c>
    </row>
    <row r="38" spans="1:9" x14ac:dyDescent="0.2">
      <c r="A38">
        <v>28</v>
      </c>
      <c r="B38">
        <v>965896.31872090348</v>
      </c>
      <c r="C38">
        <v>94319.121972677807</v>
      </c>
      <c r="D38">
        <v>91887.439965575293</v>
      </c>
      <c r="E38">
        <v>50916.381952903001</v>
      </c>
      <c r="F38">
        <v>39524.980289047133</v>
      </c>
      <c r="G38">
        <v>10000</v>
      </c>
      <c r="H38">
        <v>266647.92418020323</v>
      </c>
      <c r="I38">
        <v>35.484198922786383</v>
      </c>
    </row>
    <row r="39" spans="1:9" x14ac:dyDescent="0.2">
      <c r="A39">
        <v>29</v>
      </c>
      <c r="B39">
        <v>1539417.8873234559</v>
      </c>
      <c r="C39">
        <v>89880.507347659164</v>
      </c>
      <c r="D39">
        <v>136692.37546764201</v>
      </c>
      <c r="E39">
        <v>160167.61292182692</v>
      </c>
      <c r="F39">
        <v>47088.527048434167</v>
      </c>
      <c r="G39">
        <v>10000</v>
      </c>
      <c r="H39">
        <v>423829.02278556227</v>
      </c>
      <c r="I39">
        <v>35.453404971643828</v>
      </c>
    </row>
    <row r="40" spans="1:9" x14ac:dyDescent="0.2">
      <c r="A40">
        <v>30</v>
      </c>
      <c r="B40">
        <v>1271678.8765705833</v>
      </c>
      <c r="C40">
        <v>89210.754797949747</v>
      </c>
      <c r="D40">
        <v>77900.124077191213</v>
      </c>
      <c r="E40">
        <v>147153.22954440716</v>
      </c>
      <c r="F40">
        <v>46187.531276151261</v>
      </c>
      <c r="G40">
        <v>10000</v>
      </c>
      <c r="H40">
        <v>350451.63969569938</v>
      </c>
      <c r="I40">
        <v>32.109072480913909</v>
      </c>
    </row>
    <row r="41" spans="1:9" x14ac:dyDescent="0.2">
      <c r="A41">
        <v>31</v>
      </c>
      <c r="B41">
        <v>1381089.5029243715</v>
      </c>
      <c r="C41">
        <v>112370.44958211701</v>
      </c>
      <c r="D41">
        <v>102049.61434744894</v>
      </c>
      <c r="E41">
        <v>130951.14277481867</v>
      </c>
      <c r="F41">
        <v>45065.848345948987</v>
      </c>
      <c r="G41">
        <v>10000</v>
      </c>
      <c r="H41">
        <v>380437.05505033361</v>
      </c>
      <c r="I41">
        <v>43.184982808540994</v>
      </c>
    </row>
    <row r="42" spans="1:9" x14ac:dyDescent="0.2">
      <c r="A42">
        <v>32</v>
      </c>
      <c r="B42">
        <v>1598284.7167265501</v>
      </c>
      <c r="C42">
        <v>145218.31497811127</v>
      </c>
      <c r="D42">
        <v>94904.914695329368</v>
      </c>
      <c r="E42">
        <v>162583.25501541008</v>
      </c>
      <c r="F42">
        <v>47255.763808759155</v>
      </c>
      <c r="G42">
        <v>10000</v>
      </c>
      <c r="H42">
        <v>439962.24849760986</v>
      </c>
      <c r="I42">
        <v>51.026835466007718</v>
      </c>
    </row>
    <row r="43" spans="1:9" x14ac:dyDescent="0.2">
      <c r="A43">
        <v>33</v>
      </c>
      <c r="B43">
        <v>1009742.2796760307</v>
      </c>
      <c r="C43">
        <v>114089.00656401389</v>
      </c>
      <c r="D43">
        <v>102730.50064292467</v>
      </c>
      <c r="E43">
        <v>33524.07913785112</v>
      </c>
      <c r="F43">
        <v>38320.897786466616</v>
      </c>
      <c r="G43">
        <v>10000</v>
      </c>
      <c r="H43">
        <v>278664.48413125635</v>
      </c>
      <c r="I43">
        <v>37.658476037813109</v>
      </c>
    </row>
    <row r="44" spans="1:9" x14ac:dyDescent="0.2">
      <c r="A44">
        <v>34</v>
      </c>
      <c r="B44">
        <v>1644839.570925978</v>
      </c>
      <c r="C44">
        <v>99692.994939993368</v>
      </c>
      <c r="D44">
        <v>127239.27648437771</v>
      </c>
      <c r="E44">
        <v>186852.96986563984</v>
      </c>
      <c r="F44">
        <v>48935.974836851987</v>
      </c>
      <c r="G44">
        <v>10000</v>
      </c>
      <c r="H44">
        <v>452721.21612686291</v>
      </c>
      <c r="I44">
        <v>31.005988655482025</v>
      </c>
    </row>
    <row r="45" spans="1:9" x14ac:dyDescent="0.2">
      <c r="A45">
        <v>35</v>
      </c>
      <c r="B45">
        <v>1343281.6203879521</v>
      </c>
      <c r="C45">
        <v>122122.34866262825</v>
      </c>
      <c r="D45">
        <v>77751.917351853976</v>
      </c>
      <c r="E45">
        <v>134864.28535326789</v>
      </c>
      <c r="F45">
        <v>45336.758216764698</v>
      </c>
      <c r="G45">
        <v>10000</v>
      </c>
      <c r="H45">
        <v>370075.30958451488</v>
      </c>
      <c r="I45">
        <v>53.75930342292591</v>
      </c>
    </row>
    <row r="46" spans="1:9" x14ac:dyDescent="0.2">
      <c r="A46">
        <v>36</v>
      </c>
      <c r="B46">
        <v>1101365.6856498101</v>
      </c>
      <c r="C46">
        <v>105504.43152081947</v>
      </c>
      <c r="D46">
        <v>98856.149268638153</v>
      </c>
      <c r="E46">
        <v>68661.041249318529</v>
      </c>
      <c r="F46">
        <v>40753.456701875897</v>
      </c>
      <c r="G46">
        <v>10000</v>
      </c>
      <c r="H46">
        <v>303775.07874065207</v>
      </c>
      <c r="I46">
        <v>27.93576203314257</v>
      </c>
    </row>
    <row r="47" spans="1:9" x14ac:dyDescent="0.2">
      <c r="A47">
        <v>37</v>
      </c>
      <c r="B47">
        <v>1564344.9063328553</v>
      </c>
      <c r="C47">
        <v>141359.39476832273</v>
      </c>
      <c r="D47">
        <v>76441.391299962488</v>
      </c>
      <c r="E47">
        <v>174760.97600303817</v>
      </c>
      <c r="F47">
        <v>48098.836800210331</v>
      </c>
      <c r="G47">
        <v>10000</v>
      </c>
      <c r="H47">
        <v>430660.59887153376</v>
      </c>
      <c r="I47">
        <v>31.870130565839951</v>
      </c>
    </row>
    <row r="48" spans="1:9" x14ac:dyDescent="0.2">
      <c r="A48">
        <v>38</v>
      </c>
      <c r="B48">
        <v>986153.68626681028</v>
      </c>
      <c r="C48">
        <v>73920.266798577155</v>
      </c>
      <c r="D48">
        <v>100960.4871267649</v>
      </c>
      <c r="E48">
        <v>66701.192334201085</v>
      </c>
      <c r="F48">
        <v>40617.77485390623</v>
      </c>
      <c r="G48">
        <v>10000</v>
      </c>
      <c r="H48">
        <v>272199.72111344937</v>
      </c>
      <c r="I48">
        <v>52.722353606544473</v>
      </c>
    </row>
    <row r="49" spans="1:9" x14ac:dyDescent="0.2">
      <c r="A49">
        <v>39</v>
      </c>
      <c r="B49">
        <v>1334934.4213298936</v>
      </c>
      <c r="C49">
        <v>144298.085779341</v>
      </c>
      <c r="D49">
        <v>85929.395760492989</v>
      </c>
      <c r="E49">
        <v>104336.84851833494</v>
      </c>
      <c r="F49">
        <v>43223.32028203857</v>
      </c>
      <c r="G49">
        <v>10000</v>
      </c>
      <c r="H49">
        <v>367787.65034020756</v>
      </c>
      <c r="I49">
        <v>32.073154483522217</v>
      </c>
    </row>
    <row r="50" spans="1:9" x14ac:dyDescent="0.2">
      <c r="A50">
        <v>40</v>
      </c>
      <c r="B50">
        <v>1568751.7997887982</v>
      </c>
      <c r="C50">
        <v>99621.728329126083</v>
      </c>
      <c r="D50">
        <v>124302.70459721249</v>
      </c>
      <c r="E50">
        <v>170163.39041094107</v>
      </c>
      <c r="F50">
        <v>47780.542413065152</v>
      </c>
      <c r="G50">
        <v>10000</v>
      </c>
      <c r="H50">
        <v>431868.36575034476</v>
      </c>
      <c r="I50">
        <v>34.114749657945637</v>
      </c>
    </row>
    <row r="51" spans="1:9" x14ac:dyDescent="0.2">
      <c r="A51">
        <v>41</v>
      </c>
      <c r="B51">
        <v>1582951.7057172507</v>
      </c>
      <c r="C51">
        <v>97499.820829555654</v>
      </c>
      <c r="D51">
        <v>97881.522183560228</v>
      </c>
      <c r="E51">
        <v>200498.05816937651</v>
      </c>
      <c r="F51">
        <v>49880.634796341459</v>
      </c>
      <c r="G51">
        <v>10000</v>
      </c>
      <c r="H51">
        <v>435760.03597883385</v>
      </c>
      <c r="I51">
        <v>44.982347789456355</v>
      </c>
    </row>
    <row r="52" spans="1:9" x14ac:dyDescent="0.2">
      <c r="A52">
        <v>42</v>
      </c>
      <c r="B52">
        <v>1015412.2047679276</v>
      </c>
      <c r="C52">
        <v>104657.37239018542</v>
      </c>
      <c r="D52">
        <v>67578.180594011093</v>
      </c>
      <c r="E52">
        <v>76674.606408410735</v>
      </c>
      <c r="F52">
        <v>41308.241982120744</v>
      </c>
      <c r="G52">
        <v>10000</v>
      </c>
      <c r="H52">
        <v>280218.40137472801</v>
      </c>
      <c r="I52">
        <v>42.061779882539639</v>
      </c>
    </row>
    <row r="53" spans="1:9" x14ac:dyDescent="0.2">
      <c r="A53">
        <v>43</v>
      </c>
      <c r="B53">
        <v>1501551.3966811255</v>
      </c>
      <c r="C53">
        <v>92541.282630889255</v>
      </c>
      <c r="D53">
        <v>80779.768261931837</v>
      </c>
      <c r="E53">
        <v>200265.62110798855</v>
      </c>
      <c r="F53">
        <v>49864.542999783829</v>
      </c>
      <c r="G53">
        <v>10000</v>
      </c>
      <c r="H53">
        <v>413451.21500059351</v>
      </c>
      <c r="I53">
        <v>42.508893468300329</v>
      </c>
    </row>
    <row r="54" spans="1:9" x14ac:dyDescent="0.2">
      <c r="A54">
        <v>44</v>
      </c>
      <c r="B54">
        <v>1723682.6915869107</v>
      </c>
      <c r="C54">
        <v>157626.68239689522</v>
      </c>
      <c r="D54">
        <v>129871.18163326822</v>
      </c>
      <c r="E54">
        <v>150417.80196715833</v>
      </c>
      <c r="F54">
        <v>46413.540136187883</v>
      </c>
      <c r="G54">
        <v>10000</v>
      </c>
      <c r="H54">
        <v>474329.20613350964</v>
      </c>
      <c r="I54">
        <v>28.481206914371072</v>
      </c>
    </row>
    <row r="55" spans="1:9" x14ac:dyDescent="0.2">
      <c r="A55">
        <v>45</v>
      </c>
      <c r="B55">
        <v>1777419.045656817</v>
      </c>
      <c r="C55">
        <v>157683.22152173816</v>
      </c>
      <c r="D55">
        <v>160888.05863331363</v>
      </c>
      <c r="E55">
        <v>135129.92880271029</v>
      </c>
      <c r="F55">
        <v>45355.148917110717</v>
      </c>
      <c r="G55">
        <v>10000</v>
      </c>
      <c r="H55">
        <v>489056.3578748728</v>
      </c>
      <c r="I55">
        <v>27.108186783575903</v>
      </c>
    </row>
    <row r="56" spans="1:9" x14ac:dyDescent="0.2">
      <c r="A56">
        <v>46</v>
      </c>
      <c r="B56">
        <v>1486387.1762713757</v>
      </c>
      <c r="C56">
        <v>134047.63825291293</v>
      </c>
      <c r="D56">
        <v>75175.297572166339</v>
      </c>
      <c r="E56">
        <v>162801.45590723597</v>
      </c>
      <c r="F56">
        <v>47270.870024347103</v>
      </c>
      <c r="G56">
        <v>10000</v>
      </c>
      <c r="H56">
        <v>409295.26175666234</v>
      </c>
      <c r="I56">
        <v>35.723003215637462</v>
      </c>
    </row>
    <row r="57" spans="1:9" x14ac:dyDescent="0.2">
      <c r="A57">
        <v>47</v>
      </c>
      <c r="B57">
        <v>1584365.3980791629</v>
      </c>
      <c r="C57">
        <v>133457.10186221646</v>
      </c>
      <c r="D57">
        <v>120683.43706421419</v>
      </c>
      <c r="E57">
        <v>145905.76931750451</v>
      </c>
      <c r="F57">
        <v>46101.168645058002</v>
      </c>
      <c r="G57">
        <v>10000</v>
      </c>
      <c r="H57">
        <v>436147.47688899311</v>
      </c>
      <c r="I57">
        <v>41.821689434126569</v>
      </c>
    </row>
    <row r="58" spans="1:9" x14ac:dyDescent="0.2">
      <c r="A58">
        <v>48</v>
      </c>
      <c r="B58">
        <v>1088901.4086322905</v>
      </c>
      <c r="C58">
        <v>92982.535467241265</v>
      </c>
      <c r="D58">
        <v>43138.655828029077</v>
      </c>
      <c r="E58">
        <v>129287.23436841009</v>
      </c>
      <c r="F58">
        <v>44950.654687043774</v>
      </c>
      <c r="G58">
        <v>10000</v>
      </c>
      <c r="H58">
        <v>300359.08035072417</v>
      </c>
      <c r="I58">
        <v>38.914687328779337</v>
      </c>
    </row>
    <row r="59" spans="1:9" x14ac:dyDescent="0.2">
      <c r="A59">
        <v>49</v>
      </c>
      <c r="B59">
        <v>1647731.0647240719</v>
      </c>
      <c r="C59">
        <v>118697.87192266254</v>
      </c>
      <c r="D59">
        <v>143863.65318665179</v>
      </c>
      <c r="E59">
        <v>154271.78820164813</v>
      </c>
      <c r="F59">
        <v>46680.354567806411</v>
      </c>
      <c r="G59">
        <v>10000</v>
      </c>
      <c r="H59">
        <v>453513.66787876893</v>
      </c>
      <c r="I59">
        <v>30.123605042738909</v>
      </c>
    </row>
    <row r="60" spans="1:9" x14ac:dyDescent="0.2">
      <c r="A60">
        <v>50</v>
      </c>
      <c r="B60">
        <v>1140324.7571870666</v>
      </c>
      <c r="C60">
        <v>127444.70106210804</v>
      </c>
      <c r="D60">
        <v>65528.944724189729</v>
      </c>
      <c r="E60">
        <v>89296.604244105052</v>
      </c>
      <c r="F60">
        <v>42182.072601514963</v>
      </c>
      <c r="G60">
        <v>10000</v>
      </c>
      <c r="H60">
        <v>314452.32263191778</v>
      </c>
      <c r="I60">
        <v>36.58102592997696</v>
      </c>
    </row>
    <row r="61" spans="1:9" x14ac:dyDescent="0.2">
      <c r="A61">
        <v>51</v>
      </c>
      <c r="B61">
        <v>1245815.4337749071</v>
      </c>
      <c r="C61">
        <v>111083.93332233019</v>
      </c>
      <c r="D61">
        <v>101562.48225597668</v>
      </c>
      <c r="E61">
        <v>97936.770844738945</v>
      </c>
      <c r="F61">
        <v>42780.23798155885</v>
      </c>
      <c r="G61">
        <v>10000</v>
      </c>
      <c r="H61">
        <v>343363.42440460465</v>
      </c>
      <c r="I61">
        <v>42.117641705425015</v>
      </c>
    </row>
    <row r="62" spans="1:9" x14ac:dyDescent="0.2">
      <c r="A62">
        <v>52</v>
      </c>
      <c r="B62">
        <v>1384767.8387690755</v>
      </c>
      <c r="C62">
        <v>96453.978109121701</v>
      </c>
      <c r="D62">
        <v>127346.27077154821</v>
      </c>
      <c r="E62">
        <v>123121.13163955249</v>
      </c>
      <c r="F62">
        <v>44523.770651969018</v>
      </c>
      <c r="G62">
        <v>10000</v>
      </c>
      <c r="H62">
        <v>381445.15117219143</v>
      </c>
      <c r="I62">
        <v>33.383094423360298</v>
      </c>
    </row>
    <row r="63" spans="1:9" x14ac:dyDescent="0.2">
      <c r="A63">
        <v>53</v>
      </c>
      <c r="B63">
        <v>1748976.6917645424</v>
      </c>
      <c r="C63">
        <v>140100.09463701013</v>
      </c>
      <c r="D63">
        <v>133341.10038031949</v>
      </c>
      <c r="E63">
        <v>170047.6346460802</v>
      </c>
      <c r="F63">
        <v>47772.528552420932</v>
      </c>
      <c r="G63">
        <v>10000</v>
      </c>
      <c r="H63">
        <v>481261.35821583075</v>
      </c>
      <c r="I63">
        <v>26.345018385948244</v>
      </c>
    </row>
    <row r="64" spans="1:9" x14ac:dyDescent="0.2">
      <c r="A64">
        <v>54</v>
      </c>
      <c r="B64">
        <v>1551131.3166906761</v>
      </c>
      <c r="C64">
        <v>138969.67197413289</v>
      </c>
      <c r="D64">
        <v>141786.78952547634</v>
      </c>
      <c r="E64">
        <v>112494.6863699721</v>
      </c>
      <c r="F64">
        <v>43788.093671767303</v>
      </c>
      <c r="G64">
        <v>10000</v>
      </c>
      <c r="H64">
        <v>427039.24154134863</v>
      </c>
      <c r="I64">
        <v>44.822125899960767</v>
      </c>
    </row>
    <row r="65" spans="1:9" x14ac:dyDescent="0.2">
      <c r="A65">
        <v>55</v>
      </c>
      <c r="B65">
        <v>1168626.6476633498</v>
      </c>
      <c r="C65">
        <v>133622.98881596589</v>
      </c>
      <c r="D65">
        <v>55162.41916572534</v>
      </c>
      <c r="E65">
        <v>100467.94533178939</v>
      </c>
      <c r="F65">
        <v>42955.473138354646</v>
      </c>
      <c r="G65">
        <v>10000</v>
      </c>
      <c r="H65">
        <v>322208.82645183528</v>
      </c>
      <c r="I65">
        <v>36.334860392003392</v>
      </c>
    </row>
    <row r="66" spans="1:9" x14ac:dyDescent="0.2">
      <c r="A66">
        <v>56</v>
      </c>
      <c r="B66">
        <v>1830420.1445052191</v>
      </c>
      <c r="C66">
        <v>150492.59922351499</v>
      </c>
      <c r="D66">
        <v>122109.89560177851</v>
      </c>
      <c r="E66">
        <v>191707.45396115887</v>
      </c>
      <c r="F66">
        <v>49272.054505003303</v>
      </c>
      <c r="G66">
        <v>10000</v>
      </c>
      <c r="H66">
        <v>503582.00329145568</v>
      </c>
      <c r="I66">
        <v>34.012376682694708</v>
      </c>
    </row>
    <row r="67" spans="1:9" x14ac:dyDescent="0.2">
      <c r="A67">
        <v>57</v>
      </c>
      <c r="B67">
        <v>1628024.1788630926</v>
      </c>
      <c r="C67">
        <v>102679.290084639</v>
      </c>
      <c r="D67">
        <v>102251.20466974539</v>
      </c>
      <c r="E67">
        <v>203120.08329507997</v>
      </c>
      <c r="F67">
        <v>50062.159612736308</v>
      </c>
      <c r="G67">
        <v>10000</v>
      </c>
      <c r="H67">
        <v>448112.7376622007</v>
      </c>
      <c r="I67">
        <v>29.834771630620168</v>
      </c>
    </row>
    <row r="68" spans="1:9" x14ac:dyDescent="0.2">
      <c r="A68">
        <v>58</v>
      </c>
      <c r="B68">
        <v>1557482.4851649615</v>
      </c>
      <c r="C68">
        <v>104726.79848557427</v>
      </c>
      <c r="D68">
        <v>159533.31912428932</v>
      </c>
      <c r="E68">
        <v>129550.84050505275</v>
      </c>
      <c r="F68">
        <v>44968.904342657494</v>
      </c>
      <c r="G68">
        <v>10000</v>
      </c>
      <c r="H68">
        <v>428779.86245757382</v>
      </c>
      <c r="I68">
        <v>37.342542840124942</v>
      </c>
    </row>
    <row r="69" spans="1:9" x14ac:dyDescent="0.2">
      <c r="A69">
        <v>59</v>
      </c>
      <c r="B69">
        <v>953864.50290427147</v>
      </c>
      <c r="C69">
        <v>110631.36602191547</v>
      </c>
      <c r="D69">
        <v>91981.267471913554</v>
      </c>
      <c r="E69">
        <v>32488.602978081919</v>
      </c>
      <c r="F69">
        <v>38249.210975405666</v>
      </c>
      <c r="G69">
        <v>10000</v>
      </c>
      <c r="H69">
        <v>263350.4474473166</v>
      </c>
      <c r="I69">
        <v>33.453422696031645</v>
      </c>
    </row>
    <row r="70" spans="1:9" x14ac:dyDescent="0.2">
      <c r="A70">
        <v>60</v>
      </c>
      <c r="B70">
        <v>952196.87086568982</v>
      </c>
      <c r="C70">
        <v>76595.972813471497</v>
      </c>
      <c r="D70">
        <v>109711.98887718658</v>
      </c>
      <c r="E70">
        <v>47310.1324871795</v>
      </c>
      <c r="F70">
        <v>39275.316864497043</v>
      </c>
      <c r="G70">
        <v>10000</v>
      </c>
      <c r="H70">
        <v>262893.41104233463</v>
      </c>
      <c r="I70">
        <v>37.541156617928706</v>
      </c>
    </row>
    <row r="71" spans="1:9" x14ac:dyDescent="0.2">
      <c r="A71">
        <v>61</v>
      </c>
      <c r="B71">
        <v>1588050.1296317852</v>
      </c>
      <c r="C71">
        <v>98596.067365584619</v>
      </c>
      <c r="D71">
        <v>154180.45473928552</v>
      </c>
      <c r="E71">
        <v>148125.93154933068</v>
      </c>
      <c r="F71">
        <v>46254.872184184431</v>
      </c>
      <c r="G71">
        <v>10000</v>
      </c>
      <c r="H71">
        <v>437157.32583838521</v>
      </c>
      <c r="I71">
        <v>41.442437517582192</v>
      </c>
    </row>
    <row r="72" spans="1:9" x14ac:dyDescent="0.2">
      <c r="A72">
        <v>62</v>
      </c>
      <c r="B72">
        <v>1561778.070863415</v>
      </c>
      <c r="C72">
        <v>114403.07789539262</v>
      </c>
      <c r="D72">
        <v>79901.558406029362</v>
      </c>
      <c r="E72">
        <v>196077.86618112246</v>
      </c>
      <c r="F72">
        <v>49574.621504846938</v>
      </c>
      <c r="G72">
        <v>10000</v>
      </c>
      <c r="H72">
        <v>429957.12398739136</v>
      </c>
      <c r="I72">
        <v>37.104157313788164</v>
      </c>
    </row>
    <row r="73" spans="1:9" x14ac:dyDescent="0.2">
      <c r="A73">
        <v>63</v>
      </c>
      <c r="B73">
        <v>1379429.1328908238</v>
      </c>
      <c r="C73">
        <v>127385.91416734812</v>
      </c>
      <c r="D73">
        <v>44532.771446261948</v>
      </c>
      <c r="E73">
        <v>170275.05054903074</v>
      </c>
      <c r="F73">
        <v>47788.272730317512</v>
      </c>
      <c r="G73">
        <v>10000</v>
      </c>
      <c r="H73">
        <v>379982.00889295834</v>
      </c>
      <c r="I73">
        <v>29.661326696852871</v>
      </c>
    </row>
    <row r="74" spans="1:9" x14ac:dyDescent="0.2">
      <c r="A74">
        <v>64</v>
      </c>
      <c r="B74">
        <v>965813.89662015066</v>
      </c>
      <c r="C74">
        <v>98399.753408908684</v>
      </c>
      <c r="D74">
        <v>74810.369317079458</v>
      </c>
      <c r="E74">
        <v>63050.198832504837</v>
      </c>
      <c r="F74">
        <v>40365.013765327254</v>
      </c>
      <c r="G74">
        <v>10000</v>
      </c>
      <c r="H74">
        <v>266625.33532382024</v>
      </c>
      <c r="I74">
        <v>35.45170871320115</v>
      </c>
    </row>
    <row r="75" spans="1:9" x14ac:dyDescent="0.2">
      <c r="A75">
        <v>65</v>
      </c>
      <c r="B75">
        <v>1694407.2114010393</v>
      </c>
      <c r="C75">
        <v>130051.94761322759</v>
      </c>
      <c r="D75">
        <v>167916.07274135685</v>
      </c>
      <c r="E75">
        <v>133121.7367118558</v>
      </c>
      <c r="F75">
        <v>45216.120233897709</v>
      </c>
      <c r="G75">
        <v>10000</v>
      </c>
      <c r="H75">
        <v>466305.87730033795</v>
      </c>
      <c r="I75">
        <v>38.906501240992867</v>
      </c>
    </row>
    <row r="76" spans="1:9" x14ac:dyDescent="0.2">
      <c r="A76">
        <v>66</v>
      </c>
      <c r="B76">
        <v>1564210.9751013615</v>
      </c>
      <c r="C76">
        <v>119106.78918957664</v>
      </c>
      <c r="D76">
        <v>108029.69022035399</v>
      </c>
      <c r="E76">
        <v>165995.42302817936</v>
      </c>
      <c r="F76">
        <v>47491.990825027795</v>
      </c>
      <c r="G76">
        <v>10000</v>
      </c>
      <c r="H76">
        <v>430623.89326313778</v>
      </c>
      <c r="I76">
        <v>28.220596034078312</v>
      </c>
    </row>
    <row r="77" spans="1:9" x14ac:dyDescent="0.2">
      <c r="A77">
        <v>67</v>
      </c>
      <c r="B77">
        <v>1281620.9118059902</v>
      </c>
      <c r="C77">
        <v>103117.75419855324</v>
      </c>
      <c r="D77">
        <v>77600.811004738061</v>
      </c>
      <c r="E77">
        <v>136974.9390842139</v>
      </c>
      <c r="F77">
        <v>45482.880398137888</v>
      </c>
      <c r="G77">
        <v>10000</v>
      </c>
      <c r="H77">
        <v>353176.38468564308</v>
      </c>
      <c r="I77">
        <v>29.726367488870409</v>
      </c>
    </row>
    <row r="78" spans="1:9" x14ac:dyDescent="0.2">
      <c r="A78">
        <v>68</v>
      </c>
      <c r="B78">
        <v>1646816.8261919331</v>
      </c>
      <c r="C78">
        <v>159455.18337654494</v>
      </c>
      <c r="D78">
        <v>60428.3850727756</v>
      </c>
      <c r="E78">
        <v>193952.08812876459</v>
      </c>
      <c r="F78">
        <v>49427.452255068318</v>
      </c>
      <c r="G78">
        <v>10000</v>
      </c>
      <c r="H78">
        <v>453263.1088331535</v>
      </c>
      <c r="I78">
        <v>33.916829694745644</v>
      </c>
    </row>
    <row r="79" spans="1:9" x14ac:dyDescent="0.2">
      <c r="A79">
        <v>69</v>
      </c>
      <c r="B79">
        <v>1510488.6331370426</v>
      </c>
      <c r="C79">
        <v>137829.30886218621</v>
      </c>
      <c r="D79">
        <v>55888.257010638932</v>
      </c>
      <c r="E79">
        <v>183480.51842089553</v>
      </c>
      <c r="F79">
        <v>48702.497429138923</v>
      </c>
      <c r="G79">
        <v>10000</v>
      </c>
      <c r="H79">
        <v>415900.58172285958</v>
      </c>
      <c r="I79">
        <v>36.166519311538352</v>
      </c>
    </row>
    <row r="80" spans="1:9" x14ac:dyDescent="0.2">
      <c r="A80">
        <v>70</v>
      </c>
      <c r="B80">
        <v>1273441.7867190784</v>
      </c>
      <c r="C80">
        <v>147197.42444337724</v>
      </c>
      <c r="D80">
        <v>119809.57103116572</v>
      </c>
      <c r="E80">
        <v>54177.072440509051</v>
      </c>
      <c r="F80">
        <v>39750.720399727543</v>
      </c>
      <c r="G80">
        <v>10000</v>
      </c>
      <c r="H80">
        <v>350934.78831477952</v>
      </c>
      <c r="I80">
        <v>41.788315937356458</v>
      </c>
    </row>
    <row r="81" spans="1:9" x14ac:dyDescent="0.2">
      <c r="A81">
        <v>71</v>
      </c>
      <c r="B81">
        <v>1382529.7376031408</v>
      </c>
      <c r="C81">
        <v>118178.39431562273</v>
      </c>
      <c r="D81">
        <v>74864.991123341693</v>
      </c>
      <c r="E81">
        <v>151312.87786222555</v>
      </c>
      <c r="F81">
        <v>46475.506928923307</v>
      </c>
      <c r="G81">
        <v>10000</v>
      </c>
      <c r="H81">
        <v>380831.7702301133</v>
      </c>
      <c r="I81">
        <v>34.985862860465076</v>
      </c>
    </row>
    <row r="82" spans="1:9" x14ac:dyDescent="0.2">
      <c r="A82">
        <v>72</v>
      </c>
      <c r="B82">
        <v>987285.96353373502</v>
      </c>
      <c r="C82">
        <v>77689.549368264124</v>
      </c>
      <c r="D82">
        <v>66072.045239612475</v>
      </c>
      <c r="E82">
        <v>96095.665107477573</v>
      </c>
      <c r="F82">
        <v>42652.776815133067</v>
      </c>
      <c r="G82">
        <v>10000</v>
      </c>
      <c r="H82">
        <v>272510.03653048724</v>
      </c>
      <c r="I82">
        <v>38.832704259151953</v>
      </c>
    </row>
    <row r="83" spans="1:9" x14ac:dyDescent="0.2">
      <c r="A83">
        <v>73</v>
      </c>
      <c r="B83">
        <v>1344327.3584364955</v>
      </c>
      <c r="C83">
        <v>86085.856159143877</v>
      </c>
      <c r="D83">
        <v>77048.782785912204</v>
      </c>
      <c r="E83">
        <v>169493.12914037766</v>
      </c>
      <c r="F83">
        <v>47734.139709718453</v>
      </c>
      <c r="G83">
        <v>10000</v>
      </c>
      <c r="H83">
        <v>370361.90779515222</v>
      </c>
      <c r="I83">
        <v>44.672765760918054</v>
      </c>
    </row>
    <row r="84" spans="1:9" x14ac:dyDescent="0.2">
      <c r="A84">
        <v>74</v>
      </c>
      <c r="B84">
        <v>1589646.675710412</v>
      </c>
      <c r="C84">
        <v>146439.25259558382</v>
      </c>
      <c r="D84">
        <v>83624.082582595918</v>
      </c>
      <c r="E84">
        <v>169777.70398179235</v>
      </c>
      <c r="F84">
        <v>47753.841044893314</v>
      </c>
      <c r="G84">
        <v>10000</v>
      </c>
      <c r="H84">
        <v>437594.88020486542</v>
      </c>
      <c r="I84">
        <v>42.790259086348968</v>
      </c>
    </row>
    <row r="85" spans="1:9" x14ac:dyDescent="0.2">
      <c r="A85">
        <v>75</v>
      </c>
      <c r="B85">
        <v>1443608.805251067</v>
      </c>
      <c r="C85">
        <v>126427.2399211406</v>
      </c>
      <c r="D85">
        <v>105881.67735500527</v>
      </c>
      <c r="E85">
        <v>130245.38345072848</v>
      </c>
      <c r="F85">
        <v>45016.988085050427</v>
      </c>
      <c r="G85">
        <v>10000</v>
      </c>
      <c r="H85">
        <v>397571.28881192481</v>
      </c>
      <c r="I85">
        <v>33.793984261222519</v>
      </c>
    </row>
    <row r="86" spans="1:9" x14ac:dyDescent="0.2">
      <c r="A86">
        <v>76</v>
      </c>
      <c r="B86">
        <v>931989.2436576857</v>
      </c>
      <c r="C86">
        <v>128129.03396096447</v>
      </c>
      <c r="D86">
        <v>70131.029740823666</v>
      </c>
      <c r="E86">
        <v>30952.328861874736</v>
      </c>
      <c r="F86">
        <v>38142.853536591327</v>
      </c>
      <c r="G86">
        <v>10000</v>
      </c>
      <c r="H86">
        <v>257355.24610025418</v>
      </c>
      <c r="I86">
        <v>38.707924887406904</v>
      </c>
    </row>
    <row r="87" spans="1:9" x14ac:dyDescent="0.2">
      <c r="A87">
        <v>77</v>
      </c>
      <c r="B87">
        <v>1292148.2041707023</v>
      </c>
      <c r="C87">
        <v>159410.57240037029</v>
      </c>
      <c r="D87">
        <v>100235.96897825392</v>
      </c>
      <c r="E87">
        <v>65855.742002602768</v>
      </c>
      <c r="F87">
        <v>40559.243677103266</v>
      </c>
      <c r="G87">
        <v>10000</v>
      </c>
      <c r="H87">
        <v>356061.52705833025</v>
      </c>
      <c r="I87">
        <v>31.676502831513435</v>
      </c>
    </row>
    <row r="88" spans="1:9" x14ac:dyDescent="0.2">
      <c r="A88">
        <v>78</v>
      </c>
      <c r="B88">
        <v>810333.82248966699</v>
      </c>
      <c r="C88">
        <v>92247.036875457503</v>
      </c>
      <c r="D88">
        <v>77546.011825760681</v>
      </c>
      <c r="E88">
        <v>26393.680802555631</v>
      </c>
      <c r="F88">
        <v>37827.254824792311</v>
      </c>
      <c r="G88">
        <v>10000</v>
      </c>
      <c r="H88">
        <v>224013.98432856612</v>
      </c>
      <c r="I88">
        <v>33.784511649369648</v>
      </c>
    </row>
    <row r="89" spans="1:9" x14ac:dyDescent="0.2">
      <c r="A89">
        <v>79</v>
      </c>
      <c r="B89">
        <v>1333889.2887918511</v>
      </c>
      <c r="C89">
        <v>123796.49012820778</v>
      </c>
      <c r="D89">
        <v>77797.855350984551</v>
      </c>
      <c r="E89">
        <v>130848.15422877768</v>
      </c>
      <c r="F89">
        <v>45058.718369684604</v>
      </c>
      <c r="G89">
        <v>10000</v>
      </c>
      <c r="H89">
        <v>367501.2180776546</v>
      </c>
      <c r="I89">
        <v>30.507676235037465</v>
      </c>
    </row>
    <row r="90" spans="1:9" x14ac:dyDescent="0.2">
      <c r="A90">
        <v>80</v>
      </c>
      <c r="B90">
        <v>1458025.4293196902</v>
      </c>
      <c r="C90">
        <v>112930.43458129243</v>
      </c>
      <c r="D90">
        <v>65315.217005978018</v>
      </c>
      <c r="E90">
        <v>184503.39026460893</v>
      </c>
      <c r="F90">
        <v>48773.311633703692</v>
      </c>
      <c r="G90">
        <v>10000</v>
      </c>
      <c r="H90">
        <v>401522.35348558304</v>
      </c>
      <c r="I90">
        <v>30.91439999225647</v>
      </c>
    </row>
    <row r="91" spans="1:9" x14ac:dyDescent="0.2">
      <c r="A91">
        <v>81</v>
      </c>
      <c r="B91">
        <v>1285584.3483351201</v>
      </c>
      <c r="C91">
        <v>97110.557256280779</v>
      </c>
      <c r="D91">
        <v>57681.069617499677</v>
      </c>
      <c r="E91">
        <v>162239.0549382575</v>
      </c>
      <c r="F91">
        <v>47231.934572648592</v>
      </c>
      <c r="G91">
        <v>10000</v>
      </c>
      <c r="H91">
        <v>354262.61638468655</v>
      </c>
      <c r="I91">
        <v>38.762042449661003</v>
      </c>
    </row>
    <row r="92" spans="1:9" x14ac:dyDescent="0.2">
      <c r="A92">
        <v>82</v>
      </c>
      <c r="B92">
        <v>1363631.3526536811</v>
      </c>
      <c r="C92">
        <v>149260.59247072224</v>
      </c>
      <c r="D92">
        <v>124904.17343236601</v>
      </c>
      <c r="E92">
        <v>70599.964524366078</v>
      </c>
      <c r="F92">
        <v>40887.689851686882</v>
      </c>
      <c r="G92">
        <v>10000</v>
      </c>
      <c r="H92">
        <v>375652.42027914122</v>
      </c>
      <c r="I92">
        <v>35.656403608319067</v>
      </c>
    </row>
    <row r="93" spans="1:9" x14ac:dyDescent="0.2">
      <c r="A93">
        <v>83</v>
      </c>
      <c r="B93">
        <v>1852912.0019287975</v>
      </c>
      <c r="C93">
        <v>159205.47512255097</v>
      </c>
      <c r="D93">
        <v>143139.49025151023</v>
      </c>
      <c r="E93">
        <v>169655.82294490957</v>
      </c>
      <c r="F93">
        <v>47745.40312695528</v>
      </c>
      <c r="G93">
        <v>10000</v>
      </c>
      <c r="H93">
        <v>509746.19144592603</v>
      </c>
      <c r="I93">
        <v>43.962810906043217</v>
      </c>
    </row>
    <row r="94" spans="1:9" x14ac:dyDescent="0.2">
      <c r="A94">
        <v>84</v>
      </c>
      <c r="B94">
        <v>1540175.3801846658</v>
      </c>
      <c r="C94">
        <v>134594.23083541749</v>
      </c>
      <c r="D94">
        <v>107196.14605020256</v>
      </c>
      <c r="E94">
        <v>146129.58328311919</v>
      </c>
      <c r="F94">
        <v>46116.663458062096</v>
      </c>
      <c r="G94">
        <v>10000</v>
      </c>
      <c r="H94">
        <v>424036.62362680136</v>
      </c>
      <c r="I94">
        <v>47.301089300640058</v>
      </c>
    </row>
    <row r="95" spans="1:9" x14ac:dyDescent="0.2">
      <c r="A95">
        <v>85</v>
      </c>
      <c r="B95">
        <v>1531654.1954714835</v>
      </c>
      <c r="C95">
        <v>128317.55736861365</v>
      </c>
      <c r="D95">
        <v>140761.06142071952</v>
      </c>
      <c r="E95">
        <v>118424.07288407891</v>
      </c>
      <c r="F95">
        <v>44198.589661205464</v>
      </c>
      <c r="G95">
        <v>10000</v>
      </c>
      <c r="H95">
        <v>421701.28133461752</v>
      </c>
      <c r="I95">
        <v>44.466893463245199</v>
      </c>
    </row>
    <row r="96" spans="1:9" x14ac:dyDescent="0.2">
      <c r="A96">
        <v>86</v>
      </c>
      <c r="B96">
        <v>1611960.9078278402</v>
      </c>
      <c r="C96">
        <v>134826.94673775134</v>
      </c>
      <c r="D96">
        <v>90603.684407328619</v>
      </c>
      <c r="E96">
        <v>179829.98825470521</v>
      </c>
      <c r="F96">
        <v>48449.76841763343</v>
      </c>
      <c r="G96">
        <v>10000</v>
      </c>
      <c r="H96">
        <v>443710.38781741861</v>
      </c>
      <c r="I96">
        <v>33.04633383564456</v>
      </c>
    </row>
    <row r="97" spans="1:9" x14ac:dyDescent="0.2">
      <c r="A97">
        <v>87</v>
      </c>
      <c r="B97">
        <v>802130.03399734106</v>
      </c>
      <c r="C97">
        <v>89125.65349792724</v>
      </c>
      <c r="D97">
        <v>71918.540434247814</v>
      </c>
      <c r="E97">
        <v>32473.284248245065</v>
      </c>
      <c r="F97">
        <v>38248.150447955428</v>
      </c>
      <c r="G97">
        <v>10000</v>
      </c>
      <c r="H97">
        <v>221765.62862837553</v>
      </c>
      <c r="I97">
        <v>28.487751218067515</v>
      </c>
    </row>
    <row r="98" spans="1:9" x14ac:dyDescent="0.2">
      <c r="A98">
        <v>88</v>
      </c>
      <c r="B98">
        <v>1509181.8659649498</v>
      </c>
      <c r="C98">
        <v>113469.22279585796</v>
      </c>
      <c r="D98">
        <v>96768.038867342184</v>
      </c>
      <c r="E98">
        <v>167695.49526470478</v>
      </c>
      <c r="F98">
        <v>47609.688133710326</v>
      </c>
      <c r="G98">
        <v>10000</v>
      </c>
      <c r="H98">
        <v>415542.4450616152</v>
      </c>
      <c r="I98">
        <v>34.331191628210632</v>
      </c>
    </row>
    <row r="99" spans="1:9" x14ac:dyDescent="0.2">
      <c r="A99">
        <v>89</v>
      </c>
      <c r="B99">
        <v>1493474.7818935395</v>
      </c>
      <c r="C99">
        <v>107714.80258575332</v>
      </c>
      <c r="D99">
        <v>139100.61406941793</v>
      </c>
      <c r="E99">
        <v>129459.70154271394</v>
      </c>
      <c r="F99">
        <v>44962.594722187889</v>
      </c>
      <c r="G99">
        <v>10000</v>
      </c>
      <c r="H99">
        <v>411237.71292007313</v>
      </c>
      <c r="I99">
        <v>29.261898311700683</v>
      </c>
    </row>
    <row r="100" spans="1:9" x14ac:dyDescent="0.2">
      <c r="A100">
        <v>90</v>
      </c>
      <c r="B100">
        <v>1142956.6365874368</v>
      </c>
      <c r="C100">
        <v>94760.609215559816</v>
      </c>
      <c r="D100">
        <v>86883.463128907853</v>
      </c>
      <c r="E100">
        <v>100567.20626385734</v>
      </c>
      <c r="F100">
        <v>42962.345049036274</v>
      </c>
      <c r="G100">
        <v>10000</v>
      </c>
      <c r="H100">
        <v>315173.62365736131</v>
      </c>
      <c r="I100">
        <v>43.594883541055125</v>
      </c>
    </row>
    <row r="101" spans="1:9" x14ac:dyDescent="0.2">
      <c r="A101">
        <v>91</v>
      </c>
      <c r="B101">
        <v>1270074.5214427602</v>
      </c>
      <c r="C101">
        <v>114133.48987084783</v>
      </c>
      <c r="D101">
        <v>152328.96571008721</v>
      </c>
      <c r="E101">
        <v>53823.263632285227</v>
      </c>
      <c r="F101">
        <v>39726.225943773592</v>
      </c>
      <c r="G101">
        <v>10000</v>
      </c>
      <c r="H101">
        <v>350011.94515699387</v>
      </c>
      <c r="I101">
        <v>43.460269231835625</v>
      </c>
    </row>
    <row r="102" spans="1:9" x14ac:dyDescent="0.2">
      <c r="A102">
        <v>92</v>
      </c>
      <c r="B102">
        <v>1418412.402135581</v>
      </c>
      <c r="C102">
        <v>98098.133101105966</v>
      </c>
      <c r="D102">
        <v>147068.95708340991</v>
      </c>
      <c r="E102">
        <v>111761.46229348797</v>
      </c>
      <c r="F102">
        <v>43737.332004933785</v>
      </c>
      <c r="G102">
        <v>10000</v>
      </c>
      <c r="H102">
        <v>390665.88448293763</v>
      </c>
      <c r="I102">
        <v>43.399515539308453</v>
      </c>
    </row>
    <row r="103" spans="1:9" x14ac:dyDescent="0.2">
      <c r="A103">
        <v>93</v>
      </c>
      <c r="B103">
        <v>1046257.7373247861</v>
      </c>
      <c r="C103">
        <v>107995.40182991048</v>
      </c>
      <c r="D103">
        <v>40157.03786232655</v>
      </c>
      <c r="E103">
        <v>107104.64684523005</v>
      </c>
      <c r="F103">
        <v>43414.937089285151</v>
      </c>
      <c r="G103">
        <v>10000</v>
      </c>
      <c r="H103">
        <v>288672.02362675226</v>
      </c>
      <c r="I103">
        <v>38.898655059675022</v>
      </c>
    </row>
    <row r="104" spans="1:9" x14ac:dyDescent="0.2">
      <c r="A104">
        <v>94</v>
      </c>
      <c r="B104">
        <v>973861.97082927497</v>
      </c>
      <c r="C104">
        <v>134250.7080828594</v>
      </c>
      <c r="D104">
        <v>64752.735284204638</v>
      </c>
      <c r="E104">
        <v>40989.815649822944</v>
      </c>
      <c r="F104">
        <v>38837.756468064661</v>
      </c>
      <c r="G104">
        <v>10000</v>
      </c>
      <c r="H104">
        <v>268831.01548495167</v>
      </c>
      <c r="I104">
        <v>38.628979818535377</v>
      </c>
    </row>
    <row r="105" spans="1:9" x14ac:dyDescent="0.2">
      <c r="A105">
        <v>95</v>
      </c>
      <c r="B105">
        <v>861544.08793085127</v>
      </c>
      <c r="C105">
        <v>84021.510105838606</v>
      </c>
      <c r="D105">
        <v>85779.573564228456</v>
      </c>
      <c r="E105">
        <v>39512.279235630122</v>
      </c>
      <c r="F105">
        <v>38735.465485543624</v>
      </c>
      <c r="G105">
        <v>10000</v>
      </c>
      <c r="H105">
        <v>238048.82839124082</v>
      </c>
      <c r="I105">
        <v>27.896222876919353</v>
      </c>
    </row>
    <row r="106" spans="1:9" x14ac:dyDescent="0.2">
      <c r="A106">
        <v>96</v>
      </c>
      <c r="B106">
        <v>1809417.2849321282</v>
      </c>
      <c r="C106">
        <v>119321.92944568099</v>
      </c>
      <c r="D106">
        <v>132801.84859789899</v>
      </c>
      <c r="E106">
        <v>205476.79956611851</v>
      </c>
      <c r="F106">
        <v>50225.316893038973</v>
      </c>
      <c r="G106">
        <v>10000</v>
      </c>
      <c r="H106">
        <v>497825.8945027375</v>
      </c>
      <c r="I106">
        <v>28.584690797464582</v>
      </c>
    </row>
    <row r="107" spans="1:9" x14ac:dyDescent="0.2">
      <c r="A107">
        <v>97</v>
      </c>
      <c r="B107">
        <v>1670396.9873298865</v>
      </c>
      <c r="C107">
        <v>131991.89663688754</v>
      </c>
      <c r="D107">
        <v>92030.724403265442</v>
      </c>
      <c r="E107">
        <v>196125.05164556322</v>
      </c>
      <c r="F107">
        <v>49577.888190846686</v>
      </c>
      <c r="G107">
        <v>10000</v>
      </c>
      <c r="H107">
        <v>459725.56087656284</v>
      </c>
      <c r="I107">
        <v>30.059285933838527</v>
      </c>
    </row>
    <row r="108" spans="1:9" x14ac:dyDescent="0.2">
      <c r="A108">
        <v>98</v>
      </c>
      <c r="B108">
        <v>1176776.9807134916</v>
      </c>
      <c r="C108">
        <v>95316.907791279373</v>
      </c>
      <c r="D108">
        <v>122277.46274559095</v>
      </c>
      <c r="E108">
        <v>75613.388407406514</v>
      </c>
      <c r="F108">
        <v>41234.773043589681</v>
      </c>
      <c r="G108">
        <v>10000</v>
      </c>
      <c r="H108">
        <v>324442.5319878665</v>
      </c>
      <c r="I108">
        <v>29.254024997773517</v>
      </c>
    </row>
    <row r="109" spans="1:9" x14ac:dyDescent="0.2">
      <c r="A109">
        <v>99</v>
      </c>
      <c r="B109">
        <v>1215282.7958779093</v>
      </c>
      <c r="C109">
        <v>102831.03235646671</v>
      </c>
      <c r="D109">
        <v>62554.29628156378</v>
      </c>
      <c r="E109">
        <v>134311.72252749681</v>
      </c>
      <c r="F109">
        <v>45298.503867288237</v>
      </c>
      <c r="G109">
        <v>10000</v>
      </c>
      <c r="H109">
        <v>334995.55503281555</v>
      </c>
      <c r="I109">
        <v>39.83966828661196</v>
      </c>
    </row>
    <row r="110" spans="1:9" x14ac:dyDescent="0.2">
      <c r="A110">
        <v>100</v>
      </c>
      <c r="B110">
        <v>1062435.631584662</v>
      </c>
      <c r="C110">
        <v>100896.42947044907</v>
      </c>
      <c r="D110">
        <v>109603.20609326864</v>
      </c>
      <c r="E110">
        <v>52941.005377849666</v>
      </c>
      <c r="F110">
        <v>39665.146526158816</v>
      </c>
      <c r="G110">
        <v>10000</v>
      </c>
      <c r="H110">
        <v>293105.78746772616</v>
      </c>
      <c r="I110">
        <v>44.873237107540689</v>
      </c>
    </row>
    <row r="111" spans="1:9" x14ac:dyDescent="0.2">
      <c r="A111">
        <v>101</v>
      </c>
      <c r="B111">
        <v>1289380.5787258702</v>
      </c>
      <c r="C111">
        <v>97570.565736457589</v>
      </c>
      <c r="D111">
        <v>115436.24951757505</v>
      </c>
      <c r="E111">
        <v>108766.2375081647</v>
      </c>
      <c r="F111">
        <v>43529.970289026787</v>
      </c>
      <c r="G111">
        <v>10000</v>
      </c>
      <c r="H111">
        <v>355303.02305122413</v>
      </c>
      <c r="I111">
        <v>38.59918501393652</v>
      </c>
    </row>
    <row r="112" spans="1:9" x14ac:dyDescent="0.2">
      <c r="A112">
        <v>102</v>
      </c>
      <c r="B112">
        <v>1211944.4389568712</v>
      </c>
      <c r="C112">
        <v>132322.51570826702</v>
      </c>
      <c r="D112">
        <v>84647.372841041637</v>
      </c>
      <c r="E112">
        <v>85211.489101377272</v>
      </c>
      <c r="F112">
        <v>41899.256937787657</v>
      </c>
      <c r="G112">
        <v>10000</v>
      </c>
      <c r="H112">
        <v>334080.63458847353</v>
      </c>
      <c r="I112">
        <v>49.841711206420278</v>
      </c>
    </row>
    <row r="113" spans="1:9" x14ac:dyDescent="0.2">
      <c r="A113">
        <v>103</v>
      </c>
      <c r="B113">
        <v>1216780.2008569711</v>
      </c>
      <c r="C113">
        <v>141559.2784216218</v>
      </c>
      <c r="D113">
        <v>67486.506218561874</v>
      </c>
      <c r="E113">
        <v>93862.014384695532</v>
      </c>
      <c r="F113">
        <v>42498.139457402001</v>
      </c>
      <c r="G113">
        <v>10000</v>
      </c>
      <c r="H113">
        <v>335405.93848228123</v>
      </c>
      <c r="I113">
        <v>32.123417963134258</v>
      </c>
    </row>
    <row r="114" spans="1:9" x14ac:dyDescent="0.2">
      <c r="A114">
        <v>104</v>
      </c>
      <c r="B114">
        <v>1683507.6236105356</v>
      </c>
      <c r="C114">
        <v>155446.96709098044</v>
      </c>
      <c r="D114">
        <v>78985.226848688137</v>
      </c>
      <c r="E114">
        <v>189749.97202493224</v>
      </c>
      <c r="F114">
        <v>49136.536524802999</v>
      </c>
      <c r="G114">
        <v>10000</v>
      </c>
      <c r="H114">
        <v>463318.70248940389</v>
      </c>
      <c r="I114">
        <v>44.830794495932729</v>
      </c>
    </row>
    <row r="115" spans="1:9" x14ac:dyDescent="0.2">
      <c r="A115">
        <v>105</v>
      </c>
      <c r="B115">
        <v>898577.8118276489</v>
      </c>
      <c r="C115">
        <v>109397.05237903628</v>
      </c>
      <c r="D115">
        <v>60493.288319859988</v>
      </c>
      <c r="E115">
        <v>48921.211722771593</v>
      </c>
      <c r="F115">
        <v>39386.853119268802</v>
      </c>
      <c r="G115">
        <v>10000</v>
      </c>
      <c r="H115">
        <v>248198.40554093666</v>
      </c>
      <c r="I115">
        <v>29.197656834537405</v>
      </c>
    </row>
    <row r="116" spans="1:9" x14ac:dyDescent="0.2">
      <c r="A116">
        <v>106</v>
      </c>
      <c r="B116">
        <v>1065119.1262379205</v>
      </c>
      <c r="C116">
        <v>104500.69337612273</v>
      </c>
      <c r="D116">
        <v>77792.023397974059</v>
      </c>
      <c r="E116">
        <v>80009.404907788223</v>
      </c>
      <c r="F116">
        <v>41539.112647462258</v>
      </c>
      <c r="G116">
        <v>10000</v>
      </c>
      <c r="H116">
        <v>293841.23432934727</v>
      </c>
      <c r="I116">
        <v>39.518908470820818</v>
      </c>
    </row>
    <row r="117" spans="1:9" x14ac:dyDescent="0.2">
      <c r="A117">
        <v>107</v>
      </c>
      <c r="B117">
        <v>972884.09888332593</v>
      </c>
      <c r="C117">
        <v>116116.52318042889</v>
      </c>
      <c r="D117">
        <v>68961.909065652726</v>
      </c>
      <c r="E117">
        <v>53762.561157871176</v>
      </c>
      <c r="F117">
        <v>39722.023464775695</v>
      </c>
      <c r="G117">
        <v>10000</v>
      </c>
      <c r="H117">
        <v>268563.0168687285</v>
      </c>
      <c r="I117">
        <v>38.049954378052604</v>
      </c>
    </row>
    <row r="118" spans="1:9" x14ac:dyDescent="0.2">
      <c r="A118">
        <v>108</v>
      </c>
      <c r="B118">
        <v>1557871.6903766976</v>
      </c>
      <c r="C118">
        <v>95238.376274623282</v>
      </c>
      <c r="D118">
        <v>111493.49229708969</v>
      </c>
      <c r="E118">
        <v>183453.99919006313</v>
      </c>
      <c r="F118">
        <v>48700.661482388983</v>
      </c>
      <c r="G118">
        <v>10000</v>
      </c>
      <c r="H118">
        <v>428886.52924416505</v>
      </c>
      <c r="I118">
        <v>29.609392562149736</v>
      </c>
    </row>
    <row r="119" spans="1:9" x14ac:dyDescent="0.2">
      <c r="A119">
        <v>109</v>
      </c>
      <c r="B119">
        <v>1421158.6563857379</v>
      </c>
      <c r="C119">
        <v>106534.98103308695</v>
      </c>
      <c r="D119">
        <v>70419.152051805373</v>
      </c>
      <c r="E119">
        <v>176261.66752093096</v>
      </c>
      <c r="F119">
        <v>48202.730828372143</v>
      </c>
      <c r="G119">
        <v>10000</v>
      </c>
      <c r="H119">
        <v>391418.53143419541</v>
      </c>
      <c r="I119">
        <v>33.18088489319716</v>
      </c>
    </row>
    <row r="120" spans="1:9" x14ac:dyDescent="0.2">
      <c r="A120">
        <v>110</v>
      </c>
      <c r="B120">
        <v>1513439.1513276412</v>
      </c>
      <c r="C120">
        <v>160532.7787128374</v>
      </c>
      <c r="D120">
        <v>102846.69439419667</v>
      </c>
      <c r="E120">
        <v>119085.36532976845</v>
      </c>
      <c r="F120">
        <v>44244.371445907047</v>
      </c>
      <c r="G120">
        <v>10000</v>
      </c>
      <c r="H120">
        <v>416709.20988270961</v>
      </c>
      <c r="I120">
        <v>39.649213791604453</v>
      </c>
    </row>
    <row r="121" spans="1:9" x14ac:dyDescent="0.2">
      <c r="A121">
        <v>111</v>
      </c>
      <c r="B121">
        <v>907609.90666391188</v>
      </c>
      <c r="C121">
        <v>96173.480075249216</v>
      </c>
      <c r="D121">
        <v>63396.567345450851</v>
      </c>
      <c r="E121">
        <v>60888.373116171919</v>
      </c>
      <c r="F121">
        <v>40215.348908042666</v>
      </c>
      <c r="G121">
        <v>10000</v>
      </c>
      <c r="H121">
        <v>250673.76944491465</v>
      </c>
      <c r="I121">
        <v>36.656321396234901</v>
      </c>
    </row>
    <row r="122" spans="1:9" x14ac:dyDescent="0.2">
      <c r="A122">
        <v>112</v>
      </c>
      <c r="B122">
        <v>1036327.7361332547</v>
      </c>
      <c r="C122">
        <v>148832.54670293647</v>
      </c>
      <c r="D122">
        <v>37173.909443115474</v>
      </c>
      <c r="E122">
        <v>69156.371763707735</v>
      </c>
      <c r="F122">
        <v>40787.748814410537</v>
      </c>
      <c r="G122">
        <v>10000</v>
      </c>
      <c r="H122">
        <v>285950.57672417018</v>
      </c>
      <c r="I122">
        <v>49.531326788324705</v>
      </c>
    </row>
    <row r="123" spans="1:9" x14ac:dyDescent="0.2">
      <c r="A123">
        <v>113</v>
      </c>
      <c r="B123">
        <v>1079271.9849561551</v>
      </c>
      <c r="C123">
        <v>114059.77504150853</v>
      </c>
      <c r="D123">
        <v>83734.754331463773</v>
      </c>
      <c r="E123">
        <v>69138.939327197077</v>
      </c>
      <c r="F123">
        <v>40786.541953421336</v>
      </c>
      <c r="G123">
        <v>10000</v>
      </c>
      <c r="H123">
        <v>297720.01065359073</v>
      </c>
      <c r="I123">
        <v>38.967931962873848</v>
      </c>
    </row>
    <row r="124" spans="1:9" x14ac:dyDescent="0.2">
      <c r="A124">
        <v>114</v>
      </c>
      <c r="B124">
        <v>988172.55147048342</v>
      </c>
      <c r="C124">
        <v>92866.647604783633</v>
      </c>
      <c r="D124">
        <v>102598.84875239631</v>
      </c>
      <c r="E124">
        <v>47966.746456380148</v>
      </c>
      <c r="F124">
        <v>39320.774754672471</v>
      </c>
      <c r="G124">
        <v>10000</v>
      </c>
      <c r="H124">
        <v>272753.01756823255</v>
      </c>
      <c r="I124">
        <v>47.723399085688435</v>
      </c>
    </row>
    <row r="125" spans="1:9" x14ac:dyDescent="0.2">
      <c r="A125">
        <v>115</v>
      </c>
      <c r="B125">
        <v>1256882.0226886629</v>
      </c>
      <c r="C125">
        <v>155296.39296804919</v>
      </c>
      <c r="D125">
        <v>97027.99527785847</v>
      </c>
      <c r="E125">
        <v>63664.441553649187</v>
      </c>
      <c r="F125">
        <v>40407.538261406487</v>
      </c>
      <c r="G125">
        <v>10000</v>
      </c>
      <c r="H125">
        <v>346396.36806096334</v>
      </c>
      <c r="I125">
        <v>45.367012908993402</v>
      </c>
    </row>
    <row r="126" spans="1:9" x14ac:dyDescent="0.2">
      <c r="A126">
        <v>116</v>
      </c>
      <c r="B126">
        <v>1330736.8513772469</v>
      </c>
      <c r="C126">
        <v>101459.98575085569</v>
      </c>
      <c r="D126">
        <v>71790.271433268543</v>
      </c>
      <c r="E126">
        <v>156548.98731147053</v>
      </c>
      <c r="F126">
        <v>46838.006813871041</v>
      </c>
      <c r="G126">
        <v>10000</v>
      </c>
      <c r="H126">
        <v>366637.25130946579</v>
      </c>
      <c r="I126">
        <v>33.44017104193459</v>
      </c>
    </row>
    <row r="127" spans="1:9" x14ac:dyDescent="0.2">
      <c r="A127">
        <v>117</v>
      </c>
      <c r="B127">
        <v>1611661.5509220576</v>
      </c>
      <c r="C127">
        <v>125054.53566244362</v>
      </c>
      <c r="D127">
        <v>100129.31939954608</v>
      </c>
      <c r="E127">
        <v>179984.05546492376</v>
      </c>
      <c r="F127">
        <v>48460.434609110103</v>
      </c>
      <c r="G127">
        <v>10000</v>
      </c>
      <c r="H127">
        <v>443628.34513602359</v>
      </c>
      <c r="I127">
        <v>49.337987354727339</v>
      </c>
    </row>
    <row r="128" spans="1:9" x14ac:dyDescent="0.2">
      <c r="A128">
        <v>118</v>
      </c>
      <c r="B128">
        <v>1029192.313293586</v>
      </c>
      <c r="C128">
        <v>108369.73341895691</v>
      </c>
      <c r="D128">
        <v>69274.788493655287</v>
      </c>
      <c r="E128">
        <v>75147.948436916122</v>
      </c>
      <c r="F128">
        <v>41202.550276401889</v>
      </c>
      <c r="G128">
        <v>10000</v>
      </c>
      <c r="H128">
        <v>283995.02062593016</v>
      </c>
      <c r="I128">
        <v>31.834526802010306</v>
      </c>
    </row>
    <row r="129" spans="1:9" x14ac:dyDescent="0.2">
      <c r="A129">
        <v>119</v>
      </c>
      <c r="B129">
        <v>1219109.5348820831</v>
      </c>
      <c r="C129">
        <v>87441.744325155145</v>
      </c>
      <c r="D129">
        <v>62610.682239560228</v>
      </c>
      <c r="E129">
        <v>149632.70888181601</v>
      </c>
      <c r="F129">
        <v>46359.187537971877</v>
      </c>
      <c r="G129">
        <v>10000</v>
      </c>
      <c r="H129">
        <v>336044.32298450323</v>
      </c>
      <c r="I129">
        <v>44.529729393661285</v>
      </c>
    </row>
    <row r="130" spans="1:9" x14ac:dyDescent="0.2">
      <c r="A130">
        <v>120</v>
      </c>
      <c r="B130">
        <v>1458368.0424011974</v>
      </c>
      <c r="C130">
        <v>115799.84249633622</v>
      </c>
      <c r="D130">
        <v>124541.72114203295</v>
      </c>
      <c r="E130">
        <v>126515.89473758945</v>
      </c>
      <c r="F130">
        <v>44758.792712602342</v>
      </c>
      <c r="G130">
        <v>10000</v>
      </c>
      <c r="H130">
        <v>401616.25108856097</v>
      </c>
      <c r="I130">
        <v>41.548614084994171</v>
      </c>
    </row>
    <row r="131" spans="1:9" x14ac:dyDescent="0.2">
      <c r="A131">
        <v>121</v>
      </c>
      <c r="B131">
        <v>805365.78894698771</v>
      </c>
      <c r="C131">
        <v>108462.61956266653</v>
      </c>
      <c r="D131">
        <v>39625.529799798845</v>
      </c>
      <c r="E131">
        <v>45419.830492641871</v>
      </c>
      <c r="F131">
        <v>39144.449803336742</v>
      </c>
      <c r="G131">
        <v>10000</v>
      </c>
      <c r="H131">
        <v>222652.42965844396</v>
      </c>
      <c r="I131">
        <v>35.023106591143929</v>
      </c>
    </row>
    <row r="132" spans="1:9" x14ac:dyDescent="0.2">
      <c r="A132">
        <v>122</v>
      </c>
      <c r="B132">
        <v>1401164.1616774793</v>
      </c>
      <c r="C132">
        <v>84176.440455538061</v>
      </c>
      <c r="D132">
        <v>89209.667040962944</v>
      </c>
      <c r="E132">
        <v>174473.72084444022</v>
      </c>
      <c r="F132">
        <v>48078.949904615089</v>
      </c>
      <c r="G132">
        <v>10000</v>
      </c>
      <c r="H132">
        <v>385938.77824555628</v>
      </c>
      <c r="I132">
        <v>43.285694441579331</v>
      </c>
    </row>
    <row r="133" spans="1:9" x14ac:dyDescent="0.2">
      <c r="A133">
        <v>123</v>
      </c>
      <c r="B133">
        <v>1230863.9121053852</v>
      </c>
      <c r="C133">
        <v>164933.34745862213</v>
      </c>
      <c r="D133">
        <v>108143.61756653863</v>
      </c>
      <c r="E133">
        <v>37586.646557495849</v>
      </c>
      <c r="F133">
        <v>38602.152453980481</v>
      </c>
      <c r="G133">
        <v>10000</v>
      </c>
      <c r="H133">
        <v>339265.76403663709</v>
      </c>
      <c r="I133">
        <v>34.947643052326669</v>
      </c>
    </row>
    <row r="134" spans="1:9" x14ac:dyDescent="0.2">
      <c r="A134">
        <v>124</v>
      </c>
      <c r="B134">
        <v>1424365.5601589722</v>
      </c>
      <c r="C134">
        <v>162419.71527753616</v>
      </c>
      <c r="D134">
        <v>69038.22308338221</v>
      </c>
      <c r="E134">
        <v>126108.87279041389</v>
      </c>
      <c r="F134">
        <v>44730.61427010558</v>
      </c>
      <c r="G134">
        <v>10000</v>
      </c>
      <c r="H134">
        <v>392297.42542143783</v>
      </c>
      <c r="I134">
        <v>32.752367669306587</v>
      </c>
    </row>
    <row r="135" spans="1:9" x14ac:dyDescent="0.2">
      <c r="A135">
        <v>125</v>
      </c>
      <c r="B135">
        <v>1550515.2534526384</v>
      </c>
      <c r="C135">
        <v>105141.16370436699</v>
      </c>
      <c r="D135">
        <v>94238.067591463187</v>
      </c>
      <c r="E135">
        <v>188444.97917890642</v>
      </c>
      <c r="F135">
        <v>49046.190866231984</v>
      </c>
      <c r="G135">
        <v>10000</v>
      </c>
      <c r="H135">
        <v>426870.40134096856</v>
      </c>
      <c r="I135">
        <v>37.569904649164407</v>
      </c>
    </row>
    <row r="136" spans="1:9" x14ac:dyDescent="0.2">
      <c r="A136">
        <v>126</v>
      </c>
      <c r="B136">
        <v>1673899.2645967908</v>
      </c>
      <c r="C136">
        <v>91938.776777255698</v>
      </c>
      <c r="D136">
        <v>125572.17049992819</v>
      </c>
      <c r="E136">
        <v>203112.80297141804</v>
      </c>
      <c r="F136">
        <v>50061.655590328941</v>
      </c>
      <c r="G136">
        <v>10000</v>
      </c>
      <c r="H136">
        <v>460685.40583893086</v>
      </c>
      <c r="I136">
        <v>41.876584971712944</v>
      </c>
    </row>
    <row r="137" spans="1:9" x14ac:dyDescent="0.2">
      <c r="A137">
        <v>127</v>
      </c>
      <c r="B137">
        <v>1422216.2369876225</v>
      </c>
      <c r="C137">
        <v>81942.646387126078</v>
      </c>
      <c r="D137">
        <v>71424.624518910234</v>
      </c>
      <c r="E137">
        <v>198592.39974774781</v>
      </c>
      <c r="F137">
        <v>49748.704597921002</v>
      </c>
      <c r="G137">
        <v>10000</v>
      </c>
      <c r="H137">
        <v>391708.37525170512</v>
      </c>
      <c r="I137">
        <v>29.198583927306679</v>
      </c>
    </row>
    <row r="138" spans="1:9" x14ac:dyDescent="0.2">
      <c r="A138">
        <v>128</v>
      </c>
      <c r="B138">
        <v>1139918.1912356096</v>
      </c>
      <c r="C138">
        <v>128862.05987869817</v>
      </c>
      <c r="D138">
        <v>83040.401984770564</v>
      </c>
      <c r="E138">
        <v>71489.184789094215</v>
      </c>
      <c r="F138">
        <v>40949.251254629598</v>
      </c>
      <c r="G138">
        <v>10000</v>
      </c>
      <c r="H138">
        <v>314340.89790719253</v>
      </c>
      <c r="I138">
        <v>27.1363667572837</v>
      </c>
    </row>
    <row r="139" spans="1:9" x14ac:dyDescent="0.2">
      <c r="A139">
        <v>129</v>
      </c>
      <c r="B139">
        <v>1023571.6956782879</v>
      </c>
      <c r="C139">
        <v>84764.252698709883</v>
      </c>
      <c r="D139">
        <v>71237.161918041616</v>
      </c>
      <c r="E139">
        <v>93949.037959158901</v>
      </c>
      <c r="F139">
        <v>42504.164166403309</v>
      </c>
      <c r="G139">
        <v>10000</v>
      </c>
      <c r="H139">
        <v>282454.61674231366</v>
      </c>
      <c r="I139">
        <v>35.245047452346512</v>
      </c>
    </row>
    <row r="140" spans="1:9" x14ac:dyDescent="0.2">
      <c r="A140">
        <v>130</v>
      </c>
      <c r="B140">
        <v>1684788.9000367913</v>
      </c>
      <c r="C140">
        <v>143221.55833049639</v>
      </c>
      <c r="D140">
        <v>115836.35649790903</v>
      </c>
      <c r="E140">
        <v>167047.13649227764</v>
      </c>
      <c r="F140">
        <v>47564.801757157686</v>
      </c>
      <c r="G140">
        <v>10000</v>
      </c>
      <c r="H140">
        <v>463669.85307784076</v>
      </c>
      <c r="I140">
        <v>35.355186361186512</v>
      </c>
    </row>
    <row r="141" spans="1:9" x14ac:dyDescent="0.2">
      <c r="A141">
        <v>131</v>
      </c>
      <c r="B141">
        <v>1721605.0067393964</v>
      </c>
      <c r="C141">
        <v>127624.91457617948</v>
      </c>
      <c r="D141">
        <v>106306.42088403726</v>
      </c>
      <c r="E141">
        <v>199983.44611655013</v>
      </c>
      <c r="F141">
        <v>49845.007808068855</v>
      </c>
      <c r="G141">
        <v>10000</v>
      </c>
      <c r="H141">
        <v>473759.78938483575</v>
      </c>
      <c r="I141">
        <v>38.407188804529341</v>
      </c>
    </row>
    <row r="142" spans="1:9" x14ac:dyDescent="0.2">
      <c r="A142">
        <v>132</v>
      </c>
      <c r="B142">
        <v>1416226.0890566944</v>
      </c>
      <c r="C142">
        <v>132380.55055205096</v>
      </c>
      <c r="D142">
        <v>40762.631020845845</v>
      </c>
      <c r="E142">
        <v>178561.56095186149</v>
      </c>
      <c r="F142">
        <v>48361.954219744257</v>
      </c>
      <c r="G142">
        <v>10000</v>
      </c>
      <c r="H142">
        <v>390066.69674450258</v>
      </c>
      <c r="I142">
        <v>27.932532287614478</v>
      </c>
    </row>
    <row r="143" spans="1:9" x14ac:dyDescent="0.2">
      <c r="A143">
        <v>133</v>
      </c>
      <c r="B143">
        <v>1500659.6791569474</v>
      </c>
      <c r="C143">
        <v>127336.61237942212</v>
      </c>
      <c r="D143">
        <v>154069.27648034171</v>
      </c>
      <c r="E143">
        <v>98950.51874402292</v>
      </c>
      <c r="F143">
        <v>42850.420528432354</v>
      </c>
      <c r="G143">
        <v>10000</v>
      </c>
      <c r="H143">
        <v>413206.82813221915</v>
      </c>
      <c r="I143">
        <v>36.302825939877565</v>
      </c>
    </row>
    <row r="144" spans="1:9" x14ac:dyDescent="0.2">
      <c r="A144">
        <v>134</v>
      </c>
      <c r="B144">
        <v>1020465.9722299164</v>
      </c>
      <c r="C144">
        <v>104894.09694224487</v>
      </c>
      <c r="D144">
        <v>92481.027993480122</v>
      </c>
      <c r="E144">
        <v>54458.148127047411</v>
      </c>
      <c r="F144">
        <v>39770.179485718669</v>
      </c>
      <c r="G144">
        <v>10000</v>
      </c>
      <c r="H144">
        <v>281603.45254849107</v>
      </c>
      <c r="I144">
        <v>52.977039031458929</v>
      </c>
    </row>
    <row r="145" spans="1:9" x14ac:dyDescent="0.2">
      <c r="A145">
        <v>135</v>
      </c>
      <c r="B145">
        <v>1432749.9960245092</v>
      </c>
      <c r="C145">
        <v>145416.98330185926</v>
      </c>
      <c r="D145">
        <v>51416.511249034513</v>
      </c>
      <c r="E145">
        <v>160640.52802491499</v>
      </c>
      <c r="F145">
        <v>47121.267324801804</v>
      </c>
      <c r="G145">
        <v>10000</v>
      </c>
      <c r="H145">
        <v>394595.28990061063</v>
      </c>
      <c r="I145">
        <v>24.981730450439699</v>
      </c>
    </row>
    <row r="146" spans="1:9" x14ac:dyDescent="0.2">
      <c r="A146">
        <v>136</v>
      </c>
      <c r="B146">
        <v>1006803.7160970977</v>
      </c>
      <c r="C146">
        <v>85736.431364749427</v>
      </c>
      <c r="D146">
        <v>94557.45280582791</v>
      </c>
      <c r="E146">
        <v>66931.527017538654</v>
      </c>
      <c r="F146">
        <v>40633.721101214214</v>
      </c>
      <c r="G146">
        <v>10000</v>
      </c>
      <c r="H146">
        <v>277859.13228933024</v>
      </c>
      <c r="I146">
        <v>31.833472069520454</v>
      </c>
    </row>
    <row r="147" spans="1:9" x14ac:dyDescent="0.2">
      <c r="A147">
        <v>137</v>
      </c>
      <c r="B147">
        <v>1564826.2441839215</v>
      </c>
      <c r="C147">
        <v>164149.58548163201</v>
      </c>
      <c r="D147">
        <v>111581.51437622467</v>
      </c>
      <c r="E147">
        <v>120704.921398586</v>
      </c>
      <c r="F147">
        <v>44356.494558363651</v>
      </c>
      <c r="G147">
        <v>10000</v>
      </c>
      <c r="H147">
        <v>430792.51581480633</v>
      </c>
      <c r="I147">
        <v>37.397020435478929</v>
      </c>
    </row>
    <row r="148" spans="1:9" x14ac:dyDescent="0.2">
      <c r="A148">
        <v>138</v>
      </c>
      <c r="B148">
        <v>1274118.0941071792</v>
      </c>
      <c r="C148">
        <v>125655.42544756082</v>
      </c>
      <c r="D148">
        <v>35109.072392012255</v>
      </c>
      <c r="E148">
        <v>153713.90919876803</v>
      </c>
      <c r="F148">
        <v>46641.732175299323</v>
      </c>
      <c r="G148">
        <v>10000</v>
      </c>
      <c r="H148">
        <v>351120.13921364042</v>
      </c>
      <c r="I148">
        <v>28.307142452027492</v>
      </c>
    </row>
    <row r="149" spans="1:9" x14ac:dyDescent="0.2">
      <c r="A149">
        <v>139</v>
      </c>
      <c r="B149">
        <v>1107984.4782766649</v>
      </c>
      <c r="C149">
        <v>124961.75006637124</v>
      </c>
      <c r="D149">
        <v>75314.019070889335</v>
      </c>
      <c r="E149">
        <v>74177.884425620097</v>
      </c>
      <c r="F149">
        <v>41135.391998696781</v>
      </c>
      <c r="G149">
        <v>10000</v>
      </c>
      <c r="H149">
        <v>305589.04556157743</v>
      </c>
      <c r="I149">
        <v>34.282142927023415</v>
      </c>
    </row>
    <row r="150" spans="1:9" x14ac:dyDescent="0.2">
      <c r="A150">
        <v>140</v>
      </c>
      <c r="B150">
        <v>629666.34123799682</v>
      </c>
      <c r="C150">
        <v>75917.699003412024</v>
      </c>
      <c r="D150">
        <v>30879.260902602673</v>
      </c>
      <c r="E150">
        <v>39002.557510004212</v>
      </c>
      <c r="F150">
        <v>38700.177058384907</v>
      </c>
      <c r="G150">
        <v>10000</v>
      </c>
      <c r="H150">
        <v>174499.6944744038</v>
      </c>
      <c r="I150">
        <v>51.065616480244664</v>
      </c>
    </row>
    <row r="151" spans="1:9" x14ac:dyDescent="0.2">
      <c r="A151">
        <v>141</v>
      </c>
      <c r="B151">
        <v>1343482.1754411291</v>
      </c>
      <c r="C151">
        <v>79507.662084766271</v>
      </c>
      <c r="D151">
        <v>92318.63117639882</v>
      </c>
      <c r="E151">
        <v>161147.60818823322</v>
      </c>
      <c r="F151">
        <v>47156.372874569999</v>
      </c>
      <c r="G151">
        <v>10000</v>
      </c>
      <c r="H151">
        <v>370130.27432396833</v>
      </c>
      <c r="I151">
        <v>30.002882290591</v>
      </c>
    </row>
    <row r="152" spans="1:9" x14ac:dyDescent="0.2">
      <c r="A152">
        <v>142</v>
      </c>
      <c r="B152">
        <v>1257190.5406309832</v>
      </c>
      <c r="C152">
        <v>90224.010587332101</v>
      </c>
      <c r="D152">
        <v>109480.96188108057</v>
      </c>
      <c r="E152">
        <v>112955.92350274509</v>
      </c>
      <c r="F152">
        <v>43820.025473266964</v>
      </c>
      <c r="G152">
        <v>10000</v>
      </c>
      <c r="H152">
        <v>346480.92144442472</v>
      </c>
      <c r="I152">
        <v>24.668941460059884</v>
      </c>
    </row>
    <row r="153" spans="1:9" x14ac:dyDescent="0.2">
      <c r="A153">
        <v>143</v>
      </c>
      <c r="B153">
        <v>1873741.7851796071</v>
      </c>
      <c r="C153">
        <v>158367.11957677189</v>
      </c>
      <c r="D153">
        <v>142590.28577826399</v>
      </c>
      <c r="E153">
        <v>176292.58946777074</v>
      </c>
      <c r="F153">
        <v>48204.871578537975</v>
      </c>
      <c r="G153">
        <v>10000</v>
      </c>
      <c r="H153">
        <v>515454.86640134465</v>
      </c>
      <c r="I153">
        <v>52.304374632589251</v>
      </c>
    </row>
    <row r="154" spans="1:9" x14ac:dyDescent="0.2">
      <c r="A154">
        <v>144</v>
      </c>
      <c r="B154">
        <v>1452458.5528171556</v>
      </c>
      <c r="C154">
        <v>130332.54016518666</v>
      </c>
      <c r="D154">
        <v>86243.898333595062</v>
      </c>
      <c r="E154">
        <v>147227.56217758358</v>
      </c>
      <c r="F154">
        <v>46192.677381525013</v>
      </c>
      <c r="G154">
        <v>10000</v>
      </c>
      <c r="H154">
        <v>399996.67805789027</v>
      </c>
      <c r="I154">
        <v>35.83048783064163</v>
      </c>
    </row>
    <row r="155" spans="1:9" x14ac:dyDescent="0.2">
      <c r="A155">
        <v>145</v>
      </c>
      <c r="B155">
        <v>923301.04579555022</v>
      </c>
      <c r="C155">
        <v>98508.155717984177</v>
      </c>
      <c r="D155">
        <v>83787.445706888917</v>
      </c>
      <c r="E155">
        <v>43656.179362994968</v>
      </c>
      <c r="F155">
        <v>39022.350878976576</v>
      </c>
      <c r="G155">
        <v>10000</v>
      </c>
      <c r="H155">
        <v>254974.13166684465</v>
      </c>
      <c r="I155">
        <v>36.978200531649954</v>
      </c>
    </row>
    <row r="156" spans="1:9" x14ac:dyDescent="0.2">
      <c r="A156">
        <v>146</v>
      </c>
      <c r="B156">
        <v>1542132.0264457851</v>
      </c>
      <c r="C156">
        <v>123307.37205113427</v>
      </c>
      <c r="D156">
        <v>63242.292925529524</v>
      </c>
      <c r="E156">
        <v>198295.08211891819</v>
      </c>
      <c r="F156">
        <v>49728.121069771252</v>
      </c>
      <c r="G156">
        <v>10000</v>
      </c>
      <c r="H156">
        <v>424572.8681653532</v>
      </c>
      <c r="I156">
        <v>29.176112223782425</v>
      </c>
    </row>
    <row r="157" spans="1:9" x14ac:dyDescent="0.2">
      <c r="A157">
        <v>147</v>
      </c>
      <c r="B157">
        <v>1116503.343737789</v>
      </c>
      <c r="C157">
        <v>155348.11798657395</v>
      </c>
      <c r="D157">
        <v>37765.20849709207</v>
      </c>
      <c r="E157">
        <v>83060.110412442125</v>
      </c>
      <c r="F157">
        <v>41750.315336245993</v>
      </c>
      <c r="G157">
        <v>10000</v>
      </c>
      <c r="H157">
        <v>307923.75223235413</v>
      </c>
      <c r="I157">
        <v>35.550377924177326</v>
      </c>
    </row>
    <row r="158" spans="1:9" x14ac:dyDescent="0.2">
      <c r="A158">
        <v>148</v>
      </c>
      <c r="B158">
        <v>1771535.0514304528</v>
      </c>
      <c r="C158">
        <v>109392.47693260829</v>
      </c>
      <c r="D158">
        <v>138088.9885099958</v>
      </c>
      <c r="E158">
        <v>200108.63220132602</v>
      </c>
      <c r="F158">
        <v>49853.674537014878</v>
      </c>
      <c r="G158">
        <v>10000</v>
      </c>
      <c r="H158">
        <v>487443.77218094497</v>
      </c>
      <c r="I158">
        <v>28.074758195217065</v>
      </c>
    </row>
    <row r="159" spans="1:9" x14ac:dyDescent="0.2">
      <c r="A159">
        <v>149</v>
      </c>
      <c r="B159">
        <v>1050736.8022187767</v>
      </c>
      <c r="C159">
        <v>106675.44296489914</v>
      </c>
      <c r="D159">
        <v>115097.69446739992</v>
      </c>
      <c r="E159">
        <v>39398.821857290037</v>
      </c>
      <c r="F159">
        <v>38727.61074396623</v>
      </c>
      <c r="G159">
        <v>10000</v>
      </c>
      <c r="H159">
        <v>289899.57003355533</v>
      </c>
      <c r="I159">
        <v>39.313348748723683</v>
      </c>
    </row>
    <row r="160" spans="1:9" x14ac:dyDescent="0.2">
      <c r="A160">
        <v>150</v>
      </c>
      <c r="B160">
        <v>1393677.248743319</v>
      </c>
      <c r="C160">
        <v>123139.16959862433</v>
      </c>
      <c r="D160">
        <v>134712.42648396504</v>
      </c>
      <c r="E160">
        <v>93558.190129550669</v>
      </c>
      <c r="F160">
        <v>42477.105470507355</v>
      </c>
      <c r="G160">
        <v>10000</v>
      </c>
      <c r="H160">
        <v>383886.89168264734</v>
      </c>
      <c r="I160">
        <v>35.313316744185975</v>
      </c>
    </row>
    <row r="161" spans="1:9" x14ac:dyDescent="0.2">
      <c r="A161">
        <v>151</v>
      </c>
      <c r="B161">
        <v>1258992.5455124322</v>
      </c>
      <c r="C161">
        <v>86411.963416314553</v>
      </c>
      <c r="D161">
        <v>129845.18120222198</v>
      </c>
      <c r="E161">
        <v>97937.36102823187</v>
      </c>
      <c r="F161">
        <v>42780.278840416053</v>
      </c>
      <c r="G161">
        <v>10000</v>
      </c>
      <c r="H161">
        <v>346974.78448718443</v>
      </c>
      <c r="I161">
        <v>36.213800698351825</v>
      </c>
    </row>
    <row r="162" spans="1:9" x14ac:dyDescent="0.2">
      <c r="A162">
        <v>152</v>
      </c>
      <c r="B162">
        <v>1350135.0555198826</v>
      </c>
      <c r="C162">
        <v>140128.07169846233</v>
      </c>
      <c r="D162">
        <v>86609.149290887435</v>
      </c>
      <c r="E162">
        <v>111497.31722930651</v>
      </c>
      <c r="F162">
        <v>43719.04503895199</v>
      </c>
      <c r="G162">
        <v>10000</v>
      </c>
      <c r="H162">
        <v>371953.58325760823</v>
      </c>
      <c r="I162">
        <v>44.575811564345948</v>
      </c>
    </row>
    <row r="163" spans="1:9" x14ac:dyDescent="0.2">
      <c r="A163">
        <v>153</v>
      </c>
      <c r="B163">
        <v>1204941.7095951717</v>
      </c>
      <c r="C163">
        <v>145002.41022211994</v>
      </c>
      <c r="D163">
        <v>95839.634810638978</v>
      </c>
      <c r="E163">
        <v>61090.086184384607</v>
      </c>
      <c r="F163">
        <v>40229.313658918931</v>
      </c>
      <c r="G163">
        <v>10000</v>
      </c>
      <c r="H163">
        <v>332161.44487606245</v>
      </c>
      <c r="I163">
        <v>54.437700370313578</v>
      </c>
    </row>
    <row r="164" spans="1:9" x14ac:dyDescent="0.2">
      <c r="A164">
        <v>154</v>
      </c>
      <c r="B164">
        <v>1301360.9302965351</v>
      </c>
      <c r="C164">
        <v>104165.96682857386</v>
      </c>
      <c r="D164">
        <v>150394.99209581732</v>
      </c>
      <c r="E164">
        <v>72973.429735004916</v>
      </c>
      <c r="F164">
        <v>41052.006673961885</v>
      </c>
      <c r="G164">
        <v>10000</v>
      </c>
      <c r="H164">
        <v>358586.39533335797</v>
      </c>
      <c r="I164">
        <v>35.349527799380169</v>
      </c>
    </row>
    <row r="165" spans="1:9" x14ac:dyDescent="0.2">
      <c r="A165">
        <v>155</v>
      </c>
      <c r="B165">
        <v>1108630.7158790806</v>
      </c>
      <c r="C165">
        <v>114350.83489351421</v>
      </c>
      <c r="D165">
        <v>53959.673672509256</v>
      </c>
      <c r="E165">
        <v>104239.0942003462</v>
      </c>
      <c r="F165">
        <v>43216.55267540858</v>
      </c>
      <c r="G165">
        <v>10000</v>
      </c>
      <c r="H165">
        <v>305766.15544177825</v>
      </c>
      <c r="I165">
        <v>35.308344782417393</v>
      </c>
    </row>
    <row r="166" spans="1:9" x14ac:dyDescent="0.2">
      <c r="A166">
        <v>156</v>
      </c>
      <c r="B166">
        <v>1377312.6248074099</v>
      </c>
      <c r="C166">
        <v>155365.23489393946</v>
      </c>
      <c r="D166">
        <v>122643.99334677446</v>
      </c>
      <c r="E166">
        <v>70511.180613942241</v>
      </c>
      <c r="F166">
        <v>40881.543273272924</v>
      </c>
      <c r="G166">
        <v>10000</v>
      </c>
      <c r="H166">
        <v>379401.95212792908</v>
      </c>
      <c r="I166">
        <v>32.937543174679817</v>
      </c>
    </row>
    <row r="167" spans="1:9" x14ac:dyDescent="0.2">
      <c r="A167">
        <v>157</v>
      </c>
      <c r="B167">
        <v>1766368.1783188097</v>
      </c>
      <c r="C167">
        <v>162720.52649515643</v>
      </c>
      <c r="D167">
        <v>130414.4196202262</v>
      </c>
      <c r="E167">
        <v>156086.76967552441</v>
      </c>
      <c r="F167">
        <v>46806.007131382459</v>
      </c>
      <c r="G167">
        <v>10000</v>
      </c>
      <c r="H167">
        <v>486027.72292228951</v>
      </c>
      <c r="I167">
        <v>31.88851480009658</v>
      </c>
    </row>
    <row r="168" spans="1:9" x14ac:dyDescent="0.2">
      <c r="A168">
        <v>158</v>
      </c>
      <c r="B168">
        <v>1106976.760379429</v>
      </c>
      <c r="C168">
        <v>99452.078821084535</v>
      </c>
      <c r="D168">
        <v>92940.89140116518</v>
      </c>
      <c r="E168">
        <v>81291.990046008184</v>
      </c>
      <c r="F168">
        <v>41627.907003185181</v>
      </c>
      <c r="G168">
        <v>10000</v>
      </c>
      <c r="H168">
        <v>305312.86727144307</v>
      </c>
      <c r="I168">
        <v>41.846956076912349</v>
      </c>
    </row>
    <row r="169" spans="1:9" x14ac:dyDescent="0.2">
      <c r="A169">
        <v>159</v>
      </c>
      <c r="B169">
        <v>1340064.2336038917</v>
      </c>
      <c r="C169">
        <v>128923.24748445267</v>
      </c>
      <c r="D169">
        <v>84935.59888974225</v>
      </c>
      <c r="E169">
        <v>120960.50725297314</v>
      </c>
      <c r="F169">
        <v>44374.188963667366</v>
      </c>
      <c r="G169">
        <v>10000</v>
      </c>
      <c r="H169">
        <v>369193.54259083542</v>
      </c>
      <c r="I169">
        <v>38.692143949307805</v>
      </c>
    </row>
    <row r="170" spans="1:9" x14ac:dyDescent="0.2">
      <c r="A170">
        <v>160</v>
      </c>
      <c r="B170">
        <v>1263286.8082043359</v>
      </c>
      <c r="C170">
        <v>109839.3625266694</v>
      </c>
      <c r="D170">
        <v>98608.713969076533</v>
      </c>
      <c r="E170">
        <v>106341.50288789549</v>
      </c>
      <c r="F170">
        <v>43362.104046085071</v>
      </c>
      <c r="G170">
        <v>10000</v>
      </c>
      <c r="H170">
        <v>348151.68342972652</v>
      </c>
      <c r="I170">
        <v>33.712058728829668</v>
      </c>
    </row>
    <row r="171" spans="1:9" x14ac:dyDescent="0.2">
      <c r="A171">
        <v>161</v>
      </c>
      <c r="B171">
        <v>1717326.3881300385</v>
      </c>
      <c r="C171">
        <v>134602.01014113385</v>
      </c>
      <c r="D171">
        <v>105990.53260995973</v>
      </c>
      <c r="E171">
        <v>192656.85302448386</v>
      </c>
      <c r="F171">
        <v>49337.782132464272</v>
      </c>
      <c r="G171">
        <v>10000</v>
      </c>
      <c r="H171">
        <v>472587.17790804169</v>
      </c>
      <c r="I171">
        <v>28.843916251637182</v>
      </c>
    </row>
    <row r="172" spans="1:9" x14ac:dyDescent="0.2">
      <c r="A172">
        <v>162</v>
      </c>
      <c r="B172">
        <v>1606196.7272847088</v>
      </c>
      <c r="C172">
        <v>120975.08571518639</v>
      </c>
      <c r="D172">
        <v>117265.79469020903</v>
      </c>
      <c r="E172">
        <v>166371.7163278407</v>
      </c>
      <c r="F172">
        <v>47518.04189961974</v>
      </c>
      <c r="G172">
        <v>10000</v>
      </c>
      <c r="H172">
        <v>442130.63863285584</v>
      </c>
      <c r="I172">
        <v>40.297872185372995</v>
      </c>
    </row>
    <row r="173" spans="1:9" x14ac:dyDescent="0.2">
      <c r="A173">
        <v>163</v>
      </c>
      <c r="B173">
        <v>1467189.0934809975</v>
      </c>
      <c r="C173">
        <v>121606.59485877083</v>
      </c>
      <c r="D173">
        <v>90235.892782726936</v>
      </c>
      <c r="E173">
        <v>155430.70104933434</v>
      </c>
      <c r="F173">
        <v>46760.586995723141</v>
      </c>
      <c r="G173">
        <v>10000</v>
      </c>
      <c r="H173">
        <v>404033.77568655525</v>
      </c>
      <c r="I173">
        <v>52.697938163292626</v>
      </c>
    </row>
    <row r="174" spans="1:9" x14ac:dyDescent="0.2">
      <c r="A174">
        <v>164</v>
      </c>
      <c r="B174">
        <v>1131304.6002543462</v>
      </c>
      <c r="C174">
        <v>137099.5318771688</v>
      </c>
      <c r="D174">
        <v>99287.545031904127</v>
      </c>
      <c r="E174">
        <v>46382.086061168477</v>
      </c>
      <c r="F174">
        <v>39211.067496542433</v>
      </c>
      <c r="G174">
        <v>10000</v>
      </c>
      <c r="H174">
        <v>311980.2304667838</v>
      </c>
      <c r="I174">
        <v>31.561021753621102</v>
      </c>
    </row>
    <row r="175" spans="1:9" x14ac:dyDescent="0.2">
      <c r="A175">
        <v>165</v>
      </c>
      <c r="B175">
        <v>955952.1936667494</v>
      </c>
      <c r="C175">
        <v>124802.47728095498</v>
      </c>
      <c r="D175">
        <v>50410.300297275317</v>
      </c>
      <c r="E175">
        <v>58649.480237967146</v>
      </c>
      <c r="F175">
        <v>40060.348631859262</v>
      </c>
      <c r="G175">
        <v>10000</v>
      </c>
      <c r="H175">
        <v>263922.60644805676</v>
      </c>
      <c r="I175">
        <v>42.20094471166081</v>
      </c>
    </row>
    <row r="176" spans="1:9" x14ac:dyDescent="0.2">
      <c r="A176">
        <v>166</v>
      </c>
      <c r="B176">
        <v>1012048.2536512298</v>
      </c>
      <c r="C176">
        <v>102563.98137538876</v>
      </c>
      <c r="D176">
        <v>55809.182769485356</v>
      </c>
      <c r="E176">
        <v>88777.189258419385</v>
      </c>
      <c r="F176">
        <v>42146.113102505959</v>
      </c>
      <c r="G176">
        <v>10000</v>
      </c>
      <c r="H176">
        <v>279296.46650579944</v>
      </c>
      <c r="I176">
        <v>32.788982555886975</v>
      </c>
    </row>
    <row r="177" spans="1:9" x14ac:dyDescent="0.2">
      <c r="A177">
        <v>167</v>
      </c>
      <c r="B177">
        <v>1102020.5927829947</v>
      </c>
      <c r="C177">
        <v>116381.09004664935</v>
      </c>
      <c r="D177">
        <v>85059.763183095347</v>
      </c>
      <c r="E177">
        <v>71559.586191693699</v>
      </c>
      <c r="F177">
        <v>40954.125197886489</v>
      </c>
      <c r="G177">
        <v>10000</v>
      </c>
      <c r="H177">
        <v>303954.56461932487</v>
      </c>
      <c r="I177">
        <v>51.174034040807484</v>
      </c>
    </row>
    <row r="178" spans="1:9" x14ac:dyDescent="0.2">
      <c r="A178">
        <v>168</v>
      </c>
      <c r="B178">
        <v>1319753.7024155837</v>
      </c>
      <c r="C178">
        <v>134849.38972716653</v>
      </c>
      <c r="D178">
        <v>98314.44305481328</v>
      </c>
      <c r="E178">
        <v>97699.529127988426</v>
      </c>
      <c r="F178">
        <v>42763.813555014582</v>
      </c>
      <c r="G178">
        <v>10000</v>
      </c>
      <c r="H178">
        <v>363627.17546498287</v>
      </c>
      <c r="I178">
        <v>32.635910387866616</v>
      </c>
    </row>
    <row r="179" spans="1:9" x14ac:dyDescent="0.2">
      <c r="A179">
        <v>169</v>
      </c>
      <c r="B179">
        <v>1245739.1328597798</v>
      </c>
      <c r="C179">
        <v>153549.59535167745</v>
      </c>
      <c r="D179">
        <v>104552.50332837846</v>
      </c>
      <c r="E179">
        <v>55404.704170540033</v>
      </c>
      <c r="F179">
        <v>39835.710288729693</v>
      </c>
      <c r="G179">
        <v>10000</v>
      </c>
      <c r="H179">
        <v>343342.5131393256</v>
      </c>
      <c r="I179">
        <v>29.09670667571865</v>
      </c>
    </row>
    <row r="180" spans="1:9" x14ac:dyDescent="0.2">
      <c r="A180">
        <v>170</v>
      </c>
      <c r="B180">
        <v>1087586.3283118659</v>
      </c>
      <c r="C180">
        <v>132962.03860975735</v>
      </c>
      <c r="D180">
        <v>111436.52238295709</v>
      </c>
      <c r="E180">
        <v>27683.550849236781</v>
      </c>
      <c r="F180">
        <v>37916.553520331778</v>
      </c>
      <c r="G180">
        <v>10000</v>
      </c>
      <c r="H180">
        <v>299998.66536228301</v>
      </c>
      <c r="I180">
        <v>34.555376600587834</v>
      </c>
    </row>
    <row r="181" spans="1:9" x14ac:dyDescent="0.2">
      <c r="A181">
        <v>171</v>
      </c>
      <c r="B181">
        <v>1645607.7021887833</v>
      </c>
      <c r="C181">
        <v>116451.2156878099</v>
      </c>
      <c r="D181">
        <v>104828.32103217175</v>
      </c>
      <c r="E181">
        <v>192336.58603875057</v>
      </c>
      <c r="F181">
        <v>49315.609802682739</v>
      </c>
      <c r="G181">
        <v>10000</v>
      </c>
      <c r="H181">
        <v>452931.73256141494</v>
      </c>
      <c r="I181">
        <v>38.087497788691763</v>
      </c>
    </row>
    <row r="182" spans="1:9" x14ac:dyDescent="0.2">
      <c r="A182">
        <v>172</v>
      </c>
      <c r="B182">
        <v>1001098.7745324225</v>
      </c>
      <c r="C182">
        <v>122442.05601657555</v>
      </c>
      <c r="D182">
        <v>86896.245800382036</v>
      </c>
      <c r="E182">
        <v>38305.403926329724</v>
      </c>
      <c r="F182">
        <v>38651.912579515134</v>
      </c>
      <c r="G182">
        <v>10000</v>
      </c>
      <c r="H182">
        <v>276295.61832280247</v>
      </c>
      <c r="I182">
        <v>35.145825498865094</v>
      </c>
    </row>
    <row r="183" spans="1:9" x14ac:dyDescent="0.2">
      <c r="A183">
        <v>173</v>
      </c>
      <c r="B183">
        <v>1161436.8859013279</v>
      </c>
      <c r="C183">
        <v>98459.990605213156</v>
      </c>
      <c r="D183">
        <v>36055.109161106535</v>
      </c>
      <c r="E183">
        <v>149381.48329636251</v>
      </c>
      <c r="F183">
        <v>46341.794997440476</v>
      </c>
      <c r="G183">
        <v>10000</v>
      </c>
      <c r="H183">
        <v>320238.37806012266</v>
      </c>
      <c r="I183">
        <v>46.480589575278216</v>
      </c>
    </row>
    <row r="184" spans="1:9" x14ac:dyDescent="0.2">
      <c r="A184">
        <v>174</v>
      </c>
      <c r="B184">
        <v>1267448.1643363391</v>
      </c>
      <c r="C184">
        <v>164600.22601267614</v>
      </c>
      <c r="D184">
        <v>63630.494669799547</v>
      </c>
      <c r="E184">
        <v>88906.379840208931</v>
      </c>
      <c r="F184">
        <v>42155.057065860616</v>
      </c>
      <c r="G184">
        <v>10000</v>
      </c>
      <c r="H184">
        <v>349292.15758854523</v>
      </c>
      <c r="I184">
        <v>25.461707954865908</v>
      </c>
    </row>
    <row r="185" spans="1:9" x14ac:dyDescent="0.2">
      <c r="A185">
        <v>175</v>
      </c>
      <c r="B185">
        <v>1355290.457008221</v>
      </c>
      <c r="C185">
        <v>95017.738167700547</v>
      </c>
      <c r="D185">
        <v>140300.18939662105</v>
      </c>
      <c r="E185">
        <v>104793.61820453001</v>
      </c>
      <c r="F185">
        <v>43254.942798775155</v>
      </c>
      <c r="G185">
        <v>10000</v>
      </c>
      <c r="H185">
        <v>373366.4885676268</v>
      </c>
      <c r="I185">
        <v>37.76855091958555</v>
      </c>
    </row>
    <row r="186" spans="1:9" x14ac:dyDescent="0.2">
      <c r="A186">
        <v>176</v>
      </c>
      <c r="B186">
        <v>1316981.421017223</v>
      </c>
      <c r="C186">
        <v>125025.41003142268</v>
      </c>
      <c r="D186">
        <v>139941.50512259974</v>
      </c>
      <c r="E186">
        <v>67245.05349815829</v>
      </c>
      <c r="F186">
        <v>40655.426780641734</v>
      </c>
      <c r="G186">
        <v>10000</v>
      </c>
      <c r="H186">
        <v>362867.39543282241</v>
      </c>
      <c r="I186">
        <v>37.016239490960416</v>
      </c>
    </row>
    <row r="187" spans="1:9" x14ac:dyDescent="0.2">
      <c r="A187">
        <v>177</v>
      </c>
      <c r="B187">
        <v>1211319.8116763209</v>
      </c>
      <c r="C187">
        <v>109321.75739420298</v>
      </c>
      <c r="D187">
        <v>69672.351068509743</v>
      </c>
      <c r="E187">
        <v>120568.30250974924</v>
      </c>
      <c r="F187">
        <v>44347.036327598027</v>
      </c>
      <c r="G187">
        <v>10000</v>
      </c>
      <c r="H187">
        <v>333909.44730006001</v>
      </c>
      <c r="I187">
        <v>54.387496998818882</v>
      </c>
    </row>
    <row r="188" spans="1:9" x14ac:dyDescent="0.2">
      <c r="A188">
        <v>178</v>
      </c>
      <c r="B188">
        <v>1291271.8876777485</v>
      </c>
      <c r="C188">
        <v>126347.75101204465</v>
      </c>
      <c r="D188">
        <v>57263.508697434103</v>
      </c>
      <c r="E188">
        <v>136743.2602412049</v>
      </c>
      <c r="F188">
        <v>45466.841093621879</v>
      </c>
      <c r="G188">
        <v>10000</v>
      </c>
      <c r="H188">
        <v>355821.36104430555</v>
      </c>
      <c r="I188">
        <v>31.648365667174186</v>
      </c>
    </row>
    <row r="189" spans="1:9" x14ac:dyDescent="0.2">
      <c r="A189">
        <v>179</v>
      </c>
      <c r="B189">
        <v>871972.92094730039</v>
      </c>
      <c r="C189">
        <v>112950.68848163525</v>
      </c>
      <c r="D189">
        <v>31916.320006705428</v>
      </c>
      <c r="E189">
        <v>65505.015584087596</v>
      </c>
      <c r="F189">
        <v>40534.96261735991</v>
      </c>
      <c r="G189">
        <v>10000</v>
      </c>
      <c r="H189">
        <v>240906.9866897882</v>
      </c>
      <c r="I189">
        <v>31.229826171340314</v>
      </c>
    </row>
    <row r="190" spans="1:9" x14ac:dyDescent="0.2">
      <c r="A190">
        <v>180</v>
      </c>
      <c r="B190">
        <v>1570405.8281235993</v>
      </c>
      <c r="C190">
        <v>131717.62252149981</v>
      </c>
      <c r="D190">
        <v>56148.865277346624</v>
      </c>
      <c r="E190">
        <v>204310.60568938009</v>
      </c>
      <c r="F190">
        <v>50144.580393880155</v>
      </c>
      <c r="G190">
        <v>10000</v>
      </c>
      <c r="H190">
        <v>432321.67388210667</v>
      </c>
      <c r="I190">
        <v>36.625328978322941</v>
      </c>
    </row>
    <row r="191" spans="1:9" x14ac:dyDescent="0.2">
      <c r="A191">
        <v>181</v>
      </c>
      <c r="B191">
        <v>1248901.4706479702</v>
      </c>
      <c r="C191">
        <v>95225.413729409658</v>
      </c>
      <c r="D191">
        <v>74456.762841331525</v>
      </c>
      <c r="E191">
        <v>138910.15946978074</v>
      </c>
      <c r="F191">
        <v>45616.85719406174</v>
      </c>
      <c r="G191">
        <v>10000</v>
      </c>
      <c r="H191">
        <v>344209.19323458365</v>
      </c>
      <c r="I191">
        <v>31.728550682809409</v>
      </c>
    </row>
    <row r="192" spans="1:9" x14ac:dyDescent="0.2">
      <c r="A192">
        <v>182</v>
      </c>
      <c r="B192">
        <v>1205484.8628405887</v>
      </c>
      <c r="C192">
        <v>116986.52451689055</v>
      </c>
      <c r="D192">
        <v>110338.33065720378</v>
      </c>
      <c r="E192">
        <v>73871.282268302806</v>
      </c>
      <c r="F192">
        <v>41114.165695497883</v>
      </c>
      <c r="G192">
        <v>10000</v>
      </c>
      <c r="H192">
        <v>332310.30313789501</v>
      </c>
      <c r="I192">
        <v>33.94819343760377</v>
      </c>
    </row>
    <row r="193" spans="1:9" x14ac:dyDescent="0.2">
      <c r="A193">
        <v>183</v>
      </c>
      <c r="B193">
        <v>1241857.1975149175</v>
      </c>
      <c r="C193">
        <v>134862.37608000822</v>
      </c>
      <c r="D193">
        <v>83870.268209946866</v>
      </c>
      <c r="E193">
        <v>91230.047268150316</v>
      </c>
      <c r="F193">
        <v>42315.926349333487</v>
      </c>
      <c r="G193">
        <v>10000</v>
      </c>
      <c r="H193">
        <v>342278.61790743889</v>
      </c>
      <c r="I193">
        <v>34.769032062975874</v>
      </c>
    </row>
    <row r="194" spans="1:9" x14ac:dyDescent="0.2">
      <c r="A194">
        <v>184</v>
      </c>
      <c r="B194">
        <v>959891.63835192053</v>
      </c>
      <c r="C194">
        <v>83102.699345807952</v>
      </c>
      <c r="D194">
        <v>61657.870638834203</v>
      </c>
      <c r="E194">
        <v>88139.712768595899</v>
      </c>
      <c r="F194">
        <v>42101.980114748949</v>
      </c>
      <c r="G194">
        <v>10000</v>
      </c>
      <c r="H194">
        <v>265002.26286798698</v>
      </c>
      <c r="I194">
        <v>35.349328860205731</v>
      </c>
    </row>
    <row r="195" spans="1:9" x14ac:dyDescent="0.2">
      <c r="A195">
        <v>185</v>
      </c>
      <c r="B195">
        <v>1220308.2762094063</v>
      </c>
      <c r="C195">
        <v>142481.80489484462</v>
      </c>
      <c r="D195">
        <v>31629.141013122739</v>
      </c>
      <c r="E195">
        <v>127439.19438269499</v>
      </c>
      <c r="F195">
        <v>44822.713457263504</v>
      </c>
      <c r="G195">
        <v>10000</v>
      </c>
      <c r="H195">
        <v>336372.85374792584</v>
      </c>
      <c r="I195">
        <v>43.91164555853527</v>
      </c>
    </row>
    <row r="196" spans="1:9" x14ac:dyDescent="0.2">
      <c r="A196">
        <v>186</v>
      </c>
      <c r="B196">
        <v>1494440.6128426483</v>
      </c>
      <c r="C196">
        <v>107540.70665357971</v>
      </c>
      <c r="D196">
        <v>58619.280946209568</v>
      </c>
      <c r="E196">
        <v>205140.39649400912</v>
      </c>
      <c r="F196">
        <v>50202.02744958525</v>
      </c>
      <c r="G196">
        <v>10000</v>
      </c>
      <c r="H196">
        <v>411502.41154338367</v>
      </c>
      <c r="I196">
        <v>35.071041214257946</v>
      </c>
    </row>
    <row r="197" spans="1:9" x14ac:dyDescent="0.2">
      <c r="A197">
        <v>187</v>
      </c>
      <c r="B197">
        <v>1470477.8234202191</v>
      </c>
      <c r="C197">
        <v>97724.277500703756</v>
      </c>
      <c r="D197">
        <v>75116.090953680017</v>
      </c>
      <c r="E197">
        <v>192750.46386884066</v>
      </c>
      <c r="F197">
        <v>49344.262883227428</v>
      </c>
      <c r="G197">
        <v>10000</v>
      </c>
      <c r="H197">
        <v>404935.09520645184</v>
      </c>
      <c r="I197">
        <v>38.524841922773007</v>
      </c>
    </row>
    <row r="198" spans="1:9" x14ac:dyDescent="0.2">
      <c r="A198">
        <v>188</v>
      </c>
      <c r="B198">
        <v>1603099.3921855453</v>
      </c>
      <c r="C198">
        <v>96697.11259036242</v>
      </c>
      <c r="D198">
        <v>100284.32868012576</v>
      </c>
      <c r="E198">
        <v>204165.77822819073</v>
      </c>
      <c r="F198">
        <v>50134.553877336279</v>
      </c>
      <c r="G198">
        <v>10000</v>
      </c>
      <c r="H198">
        <v>441281.77337601519</v>
      </c>
      <c r="I198">
        <v>38.657980918925006</v>
      </c>
    </row>
    <row r="199" spans="1:9" x14ac:dyDescent="0.2">
      <c r="A199">
        <v>189</v>
      </c>
      <c r="B199">
        <v>1192244.9100061287</v>
      </c>
      <c r="C199">
        <v>122543.05705184409</v>
      </c>
      <c r="D199">
        <v>129124.60915070464</v>
      </c>
      <c r="E199">
        <v>47710.986154726997</v>
      </c>
      <c r="F199">
        <v>39303.068272250333</v>
      </c>
      <c r="G199">
        <v>10000</v>
      </c>
      <c r="H199">
        <v>328681.72062952607</v>
      </c>
      <c r="I199">
        <v>40.94976409727613</v>
      </c>
    </row>
    <row r="200" spans="1:9" x14ac:dyDescent="0.2">
      <c r="A200">
        <v>190</v>
      </c>
      <c r="B200">
        <v>1468094.906381645</v>
      </c>
      <c r="C200">
        <v>101368.35366199211</v>
      </c>
      <c r="D200">
        <v>83286.131213718516</v>
      </c>
      <c r="E200">
        <v>181090.50569231226</v>
      </c>
      <c r="F200">
        <v>48537.035009467771</v>
      </c>
      <c r="G200">
        <v>10000</v>
      </c>
      <c r="H200">
        <v>404282.02557749068</v>
      </c>
      <c r="I200">
        <v>43.129101356573642</v>
      </c>
    </row>
    <row r="201" spans="1:9" x14ac:dyDescent="0.2">
      <c r="A201">
        <v>191</v>
      </c>
      <c r="B201">
        <v>1515423.4214136889</v>
      </c>
      <c r="C201">
        <v>146316.22152173804</v>
      </c>
      <c r="D201">
        <v>35751.340963776849</v>
      </c>
      <c r="E201">
        <v>195641.08013587564</v>
      </c>
      <c r="F201">
        <v>49544.382470945238</v>
      </c>
      <c r="G201">
        <v>10000</v>
      </c>
      <c r="H201">
        <v>417253.02509233577</v>
      </c>
      <c r="I201">
        <v>40.529227376970638</v>
      </c>
    </row>
    <row r="202" spans="1:9" x14ac:dyDescent="0.2">
      <c r="A202">
        <v>192</v>
      </c>
      <c r="B202">
        <v>1625668.5071076709</v>
      </c>
      <c r="C202">
        <v>135002.18233598399</v>
      </c>
      <c r="D202">
        <v>109039.48779965474</v>
      </c>
      <c r="E202">
        <v>165937.48508751477</v>
      </c>
      <c r="F202">
        <v>47487.97973682794</v>
      </c>
      <c r="G202">
        <v>10000</v>
      </c>
      <c r="H202">
        <v>447467.13495998149</v>
      </c>
      <c r="I202">
        <v>38.075224895105677</v>
      </c>
    </row>
    <row r="203" spans="1:9" x14ac:dyDescent="0.2">
      <c r="A203">
        <v>193</v>
      </c>
      <c r="B203">
        <v>1388638.018858236</v>
      </c>
      <c r="C203">
        <v>113934.6334639493</v>
      </c>
      <c r="D203">
        <v>61318.603416273167</v>
      </c>
      <c r="E203">
        <v>169516.80877313559</v>
      </c>
      <c r="F203">
        <v>47735.779068909389</v>
      </c>
      <c r="G203">
        <v>10000</v>
      </c>
      <c r="H203">
        <v>382505.82472226745</v>
      </c>
      <c r="I203">
        <v>33.461928991266547</v>
      </c>
    </row>
    <row r="204" spans="1:9" x14ac:dyDescent="0.2">
      <c r="A204">
        <v>194</v>
      </c>
      <c r="B204">
        <v>1747558.5221311902</v>
      </c>
      <c r="C204">
        <v>143745.97012028136</v>
      </c>
      <c r="D204">
        <v>141598.06086837724</v>
      </c>
      <c r="E204">
        <v>158551.98348256346</v>
      </c>
      <c r="F204">
        <v>46976.67577956208</v>
      </c>
      <c r="G204">
        <v>10000</v>
      </c>
      <c r="H204">
        <v>480872.69025078416</v>
      </c>
      <c r="I204">
        <v>45.337076750132063</v>
      </c>
    </row>
    <row r="205" spans="1:9" x14ac:dyDescent="0.2">
      <c r="A205">
        <v>195</v>
      </c>
      <c r="B205">
        <v>946792.81414491462</v>
      </c>
      <c r="C205">
        <v>110180.02652590508</v>
      </c>
      <c r="D205">
        <v>77024.636545581918</v>
      </c>
      <c r="E205">
        <v>45086.333862102118</v>
      </c>
      <c r="F205">
        <v>39121.361575068608</v>
      </c>
      <c r="G205">
        <v>10000</v>
      </c>
      <c r="H205">
        <v>261412.35850865772</v>
      </c>
      <c r="I205">
        <v>34.783811543959182</v>
      </c>
    </row>
    <row r="206" spans="1:9" x14ac:dyDescent="0.2">
      <c r="A206">
        <v>196</v>
      </c>
      <c r="B206">
        <v>1077993.3250516059</v>
      </c>
      <c r="C206">
        <v>110021.34314471342</v>
      </c>
      <c r="D206">
        <v>74498.699373291776</v>
      </c>
      <c r="E206">
        <v>81226.183475507976</v>
      </c>
      <c r="F206">
        <v>41623.351163689011</v>
      </c>
      <c r="G206">
        <v>10000</v>
      </c>
      <c r="H206">
        <v>297369.57715720212</v>
      </c>
      <c r="I206">
        <v>43.771206530880391</v>
      </c>
    </row>
    <row r="207" spans="1:9" x14ac:dyDescent="0.2">
      <c r="A207">
        <v>197</v>
      </c>
      <c r="B207">
        <v>815625.1088543915</v>
      </c>
      <c r="C207">
        <v>91241.147100561298</v>
      </c>
      <c r="D207">
        <v>38664.690140688486</v>
      </c>
      <c r="E207">
        <v>65054.519033105382</v>
      </c>
      <c r="F207">
        <v>40503.774394599604</v>
      </c>
      <c r="G207">
        <v>10000</v>
      </c>
      <c r="H207">
        <v>225464.13066895478</v>
      </c>
      <c r="I207">
        <v>31.444336529795521</v>
      </c>
    </row>
    <row r="208" spans="1:9" x14ac:dyDescent="0.2">
      <c r="A208">
        <v>198</v>
      </c>
      <c r="B208">
        <v>1277512.4898377394</v>
      </c>
      <c r="C208">
        <v>102326.21809176813</v>
      </c>
      <c r="D208">
        <v>129188.33401493961</v>
      </c>
      <c r="E208">
        <v>88414.838444188004</v>
      </c>
      <c r="F208">
        <v>42121.027276905319</v>
      </c>
      <c r="G208">
        <v>10000</v>
      </c>
      <c r="H208">
        <v>352050.41782780102</v>
      </c>
      <c r="I208">
        <v>47.625213061328729</v>
      </c>
    </row>
    <row r="209" spans="1:9" x14ac:dyDescent="0.2">
      <c r="A209">
        <v>199</v>
      </c>
      <c r="B209">
        <v>1213745.0297796472</v>
      </c>
      <c r="C209">
        <v>94800.434787200647</v>
      </c>
      <c r="D209">
        <v>69114.470572888065</v>
      </c>
      <c r="E209">
        <v>135292.78140201053</v>
      </c>
      <c r="F209">
        <v>45366.423327831501</v>
      </c>
      <c r="G209">
        <v>10000</v>
      </c>
      <c r="H209">
        <v>334574.11008993076</v>
      </c>
      <c r="I209">
        <v>31.476428440892896</v>
      </c>
    </row>
    <row r="210" spans="1:9" x14ac:dyDescent="0.2">
      <c r="A210">
        <v>200</v>
      </c>
      <c r="B210">
        <v>953620.92578434397</v>
      </c>
      <c r="C210">
        <v>125151.67269674412</v>
      </c>
      <c r="D210">
        <v>35996.115969594757</v>
      </c>
      <c r="E210">
        <v>71206.240478233114</v>
      </c>
      <c r="F210">
        <v>40929.662802339219</v>
      </c>
      <c r="G210">
        <v>10000</v>
      </c>
      <c r="H210">
        <v>263283.69194691122</v>
      </c>
      <c r="I210">
        <v>28.475175023153419</v>
      </c>
    </row>
    <row r="211" spans="1:9" x14ac:dyDescent="0.2">
      <c r="A211">
        <v>201</v>
      </c>
      <c r="B211">
        <v>989289.98759328644</v>
      </c>
      <c r="C211">
        <v>108488.31883289671</v>
      </c>
      <c r="D211">
        <v>44019.930856973915</v>
      </c>
      <c r="E211">
        <v>88429.007662646065</v>
      </c>
      <c r="F211">
        <v>42122.008222798569</v>
      </c>
      <c r="G211">
        <v>10000</v>
      </c>
      <c r="H211">
        <v>273059.26557531528</v>
      </c>
      <c r="I211">
        <v>37.794120740844292</v>
      </c>
    </row>
    <row r="212" spans="1:9" x14ac:dyDescent="0.2">
      <c r="A212">
        <v>202</v>
      </c>
      <c r="B212">
        <v>1223273.6409368073</v>
      </c>
      <c r="C212">
        <v>130967.3558718805</v>
      </c>
      <c r="D212">
        <v>102896.87361428294</v>
      </c>
      <c r="E212">
        <v>72314.904821836666</v>
      </c>
      <c r="F212">
        <v>41006.416487665614</v>
      </c>
      <c r="G212">
        <v>10000</v>
      </c>
      <c r="H212">
        <v>337185.55079566571</v>
      </c>
      <c r="I212">
        <v>29.155079016440382</v>
      </c>
    </row>
    <row r="213" spans="1:9" x14ac:dyDescent="0.2">
      <c r="A213">
        <v>203</v>
      </c>
      <c r="B213">
        <v>1376009.0961066638</v>
      </c>
      <c r="C213">
        <v>104406.07134535571</v>
      </c>
      <c r="D213">
        <v>70505.686614319013</v>
      </c>
      <c r="E213">
        <v>166599.15724334924</v>
      </c>
      <c r="F213">
        <v>47533.78780915495</v>
      </c>
      <c r="G213">
        <v>10000</v>
      </c>
      <c r="H213">
        <v>379044.70301217888</v>
      </c>
      <c r="I213">
        <v>40.963326589032697</v>
      </c>
    </row>
    <row r="214" spans="1:9" x14ac:dyDescent="0.2">
      <c r="A214">
        <v>204</v>
      </c>
      <c r="B214">
        <v>1543850.6995581572</v>
      </c>
      <c r="C214">
        <v>126938.00608555488</v>
      </c>
      <c r="D214">
        <v>73263.04172615266</v>
      </c>
      <c r="E214">
        <v>185968.12863564951</v>
      </c>
      <c r="F214">
        <v>48874.716597852654</v>
      </c>
      <c r="G214">
        <v>10000</v>
      </c>
      <c r="H214">
        <v>425043.8930452097</v>
      </c>
      <c r="I214">
        <v>37.756223423302501</v>
      </c>
    </row>
    <row r="215" spans="1:9" x14ac:dyDescent="0.2">
      <c r="A215">
        <v>205</v>
      </c>
      <c r="B215">
        <v>1391225.6707374419</v>
      </c>
      <c r="C215">
        <v>136764.66692965286</v>
      </c>
      <c r="D215">
        <v>83350.770428801683</v>
      </c>
      <c r="E215">
        <v>128222.61685974919</v>
      </c>
      <c r="F215">
        <v>44876.950397982633</v>
      </c>
      <c r="G215">
        <v>10000</v>
      </c>
      <c r="H215">
        <v>383215.00461618637</v>
      </c>
      <c r="I215">
        <v>37.546298809681119</v>
      </c>
    </row>
    <row r="216" spans="1:9" x14ac:dyDescent="0.2">
      <c r="A216">
        <v>206</v>
      </c>
      <c r="B216">
        <v>1241809.6547160435</v>
      </c>
      <c r="C216">
        <v>111642.77656322889</v>
      </c>
      <c r="D216">
        <v>120592.66653299546</v>
      </c>
      <c r="E216">
        <v>78589.344323545083</v>
      </c>
      <c r="F216">
        <v>41440.800760860817</v>
      </c>
      <c r="G216">
        <v>10000</v>
      </c>
      <c r="H216">
        <v>342265.58818063024</v>
      </c>
      <c r="I216">
        <v>35.563531488944079</v>
      </c>
    </row>
    <row r="217" spans="1:9" x14ac:dyDescent="0.2">
      <c r="A217">
        <v>207</v>
      </c>
      <c r="B217">
        <v>950833.81958631193</v>
      </c>
      <c r="C217">
        <v>125580.73955661026</v>
      </c>
      <c r="D217">
        <v>75429.940823476238</v>
      </c>
      <c r="E217">
        <v>33210.013802414345</v>
      </c>
      <c r="F217">
        <v>38299.154801705605</v>
      </c>
      <c r="G217">
        <v>10000</v>
      </c>
      <c r="H217">
        <v>262519.84898420644</v>
      </c>
      <c r="I217">
        <v>42.063624517492329</v>
      </c>
    </row>
    <row r="218" spans="1:9" x14ac:dyDescent="0.2">
      <c r="A218">
        <v>208</v>
      </c>
      <c r="B218">
        <v>1435066.8889169788</v>
      </c>
      <c r="C218">
        <v>108548.98890353463</v>
      </c>
      <c r="D218">
        <v>54749.047566788897</v>
      </c>
      <c r="E218">
        <v>192598.48687789927</v>
      </c>
      <c r="F218">
        <v>49333.741399239181</v>
      </c>
      <c r="G218">
        <v>10000</v>
      </c>
      <c r="H218">
        <v>395230.26474746194</v>
      </c>
      <c r="I218">
        <v>46.185413314303823</v>
      </c>
    </row>
    <row r="219" spans="1:9" x14ac:dyDescent="0.2">
      <c r="A219">
        <v>209</v>
      </c>
      <c r="B219">
        <v>1565071.636879256</v>
      </c>
      <c r="C219">
        <v>92169.315904837145</v>
      </c>
      <c r="D219">
        <v>108361.51262297315</v>
      </c>
      <c r="E219">
        <v>191099.00897878545</v>
      </c>
      <c r="F219">
        <v>49229.931390838996</v>
      </c>
      <c r="G219">
        <v>10000</v>
      </c>
      <c r="H219">
        <v>430859.76889743475</v>
      </c>
      <c r="I219">
        <v>50.629178765266175</v>
      </c>
    </row>
    <row r="220" spans="1:9" x14ac:dyDescent="0.2">
      <c r="A220">
        <v>210</v>
      </c>
      <c r="B220">
        <v>1268933.6980755497</v>
      </c>
      <c r="C220">
        <v>129281.39916783097</v>
      </c>
      <c r="D220">
        <v>61197.637419707011</v>
      </c>
      <c r="E220">
        <v>124594.47933539057</v>
      </c>
      <c r="F220">
        <v>44625.771646296271</v>
      </c>
      <c r="G220">
        <v>10000</v>
      </c>
      <c r="H220">
        <v>349699.28756922478</v>
      </c>
      <c r="I220">
        <v>37.349827204557286</v>
      </c>
    </row>
    <row r="221" spans="1:9" x14ac:dyDescent="0.2">
      <c r="A221">
        <v>211</v>
      </c>
      <c r="B221">
        <v>1035266.4668432719</v>
      </c>
      <c r="C221">
        <v>113791.55240504422</v>
      </c>
      <c r="D221">
        <v>64433.708347748674</v>
      </c>
      <c r="E221">
        <v>76161.726321401104</v>
      </c>
      <c r="F221">
        <v>41272.73489917392</v>
      </c>
      <c r="G221">
        <v>10000</v>
      </c>
      <c r="H221">
        <v>285659.72197336791</v>
      </c>
      <c r="I221">
        <v>27.255487966183694</v>
      </c>
    </row>
    <row r="222" spans="1:9" x14ac:dyDescent="0.2">
      <c r="A222">
        <v>212</v>
      </c>
      <c r="B222">
        <v>1504598.436119569</v>
      </c>
      <c r="C222">
        <v>84553.094137650405</v>
      </c>
      <c r="D222">
        <v>98991.555588498319</v>
      </c>
      <c r="E222">
        <v>191484.99298605428</v>
      </c>
      <c r="F222">
        <v>49256.653360572986</v>
      </c>
      <c r="G222">
        <v>10000</v>
      </c>
      <c r="H222">
        <v>414286.29607277596</v>
      </c>
      <c r="I222">
        <v>32.585169435552558</v>
      </c>
    </row>
    <row r="223" spans="1:9" x14ac:dyDescent="0.2">
      <c r="A223">
        <v>213</v>
      </c>
      <c r="B223">
        <v>1315733.2691861838</v>
      </c>
      <c r="C223">
        <v>113612.31222805157</v>
      </c>
      <c r="D223">
        <v>101693.40110128296</v>
      </c>
      <c r="E223">
        <v>113370.85803421785</v>
      </c>
      <c r="F223">
        <v>43848.751710061239</v>
      </c>
      <c r="G223">
        <v>10000</v>
      </c>
      <c r="H223">
        <v>362525.32307361357</v>
      </c>
      <c r="I223">
        <v>36.387097320927467</v>
      </c>
    </row>
    <row r="224" spans="1:9" x14ac:dyDescent="0.2">
      <c r="A224">
        <v>214</v>
      </c>
      <c r="B224">
        <v>1218656.2128560795</v>
      </c>
      <c r="C224">
        <v>99176.70572162907</v>
      </c>
      <c r="D224">
        <v>40161.00857940907</v>
      </c>
      <c r="E224">
        <v>159537.46819946062</v>
      </c>
      <c r="F224">
        <v>47044.901644578043</v>
      </c>
      <c r="G224">
        <v>10000</v>
      </c>
      <c r="H224">
        <v>335920.08414507675</v>
      </c>
      <c r="I224">
        <v>30.815237125698662</v>
      </c>
    </row>
    <row r="225" spans="1:9" x14ac:dyDescent="0.2">
      <c r="A225">
        <v>215</v>
      </c>
      <c r="B225">
        <v>1456336.2539293692</v>
      </c>
      <c r="C225">
        <v>99095.679104943032</v>
      </c>
      <c r="D225">
        <v>64760.108346313878</v>
      </c>
      <c r="E225">
        <v>197528.57051012688</v>
      </c>
      <c r="F225">
        <v>49675.054881470322</v>
      </c>
      <c r="G225">
        <v>10000</v>
      </c>
      <c r="H225">
        <v>401059.4128428541</v>
      </c>
      <c r="I225">
        <v>42.97990993408763</v>
      </c>
    </row>
    <row r="226" spans="1:9" x14ac:dyDescent="0.2">
      <c r="A226">
        <v>216</v>
      </c>
      <c r="B226">
        <v>1315247.3029144255</v>
      </c>
      <c r="C226">
        <v>106189.75676549741</v>
      </c>
      <c r="D226">
        <v>94289.06061133559</v>
      </c>
      <c r="E226">
        <v>127113.17723485237</v>
      </c>
      <c r="F226">
        <v>44800.143039335926</v>
      </c>
      <c r="G226">
        <v>10000</v>
      </c>
      <c r="H226">
        <v>362392.1376510213</v>
      </c>
      <c r="I226">
        <v>25.654637068372672</v>
      </c>
    </row>
    <row r="227" spans="1:9" x14ac:dyDescent="0.2">
      <c r="A227">
        <v>217</v>
      </c>
      <c r="B227">
        <v>1182473.6988839409</v>
      </c>
      <c r="C227">
        <v>167016.14364529995</v>
      </c>
      <c r="D227">
        <v>32685.71788999367</v>
      </c>
      <c r="E227">
        <v>93807.561077158301</v>
      </c>
      <c r="F227">
        <v>42494.36961303404</v>
      </c>
      <c r="G227">
        <v>10000</v>
      </c>
      <c r="H227">
        <v>326003.79222548602</v>
      </c>
      <c r="I227">
        <v>43.763335071938798</v>
      </c>
    </row>
    <row r="228" spans="1:9" x14ac:dyDescent="0.2">
      <c r="A228">
        <v>218</v>
      </c>
      <c r="B228">
        <v>1016142.753842441</v>
      </c>
      <c r="C228">
        <v>102648.05367286273</v>
      </c>
      <c r="D228">
        <v>74784.783555179863</v>
      </c>
      <c r="E228">
        <v>72001.089854177248</v>
      </c>
      <c r="F228">
        <v>40984.690836058428</v>
      </c>
      <c r="G228">
        <v>10000</v>
      </c>
      <c r="H228">
        <v>280418.61791827827</v>
      </c>
      <c r="I228">
        <v>39.49639031509524</v>
      </c>
    </row>
    <row r="229" spans="1:9" x14ac:dyDescent="0.2">
      <c r="A229">
        <v>219</v>
      </c>
      <c r="B229">
        <v>1301017.2058829162</v>
      </c>
      <c r="C229">
        <v>105028.36881117582</v>
      </c>
      <c r="D229">
        <v>86622.178311385971</v>
      </c>
      <c r="E229">
        <v>131722.40276439139</v>
      </c>
      <c r="F229">
        <v>45119.243268304017</v>
      </c>
      <c r="G229">
        <v>10000</v>
      </c>
      <c r="H229">
        <v>358492.19315525721</v>
      </c>
      <c r="I229">
        <v>34.730400004087514</v>
      </c>
    </row>
    <row r="230" spans="1:9" x14ac:dyDescent="0.2">
      <c r="A230">
        <v>220</v>
      </c>
      <c r="B230">
        <v>1502029.2840631057</v>
      </c>
      <c r="C230">
        <v>81162.477209283112</v>
      </c>
      <c r="D230">
        <v>107261.39705730401</v>
      </c>
      <c r="E230">
        <v>186263.16952542111</v>
      </c>
      <c r="F230">
        <v>48895.142505606076</v>
      </c>
      <c r="G230">
        <v>10000</v>
      </c>
      <c r="H230">
        <v>413582.1862976143</v>
      </c>
      <c r="I230">
        <v>49.541043624407074</v>
      </c>
    </row>
    <row r="231" spans="1:9" x14ac:dyDescent="0.2">
      <c r="A231">
        <v>221</v>
      </c>
      <c r="B231">
        <v>949167.42126394855</v>
      </c>
      <c r="C231">
        <v>93435.62194539723</v>
      </c>
      <c r="D231">
        <v>66024.519351687675</v>
      </c>
      <c r="E231">
        <v>71643.102314891265</v>
      </c>
      <c r="F231">
        <v>40959.907083338629</v>
      </c>
      <c r="G231">
        <v>10000</v>
      </c>
      <c r="H231">
        <v>262063.15069531481</v>
      </c>
      <c r="I231">
        <v>43.825964928815459</v>
      </c>
    </row>
    <row r="232" spans="1:9" x14ac:dyDescent="0.2">
      <c r="A232">
        <v>222</v>
      </c>
      <c r="B232">
        <v>1437081.4191418022</v>
      </c>
      <c r="C232">
        <v>112941.12914471768</v>
      </c>
      <c r="D232">
        <v>118016.92292198028</v>
      </c>
      <c r="E232">
        <v>129835.69597205083</v>
      </c>
      <c r="F232">
        <v>44988.625105757368</v>
      </c>
      <c r="G232">
        <v>10000</v>
      </c>
      <c r="H232">
        <v>395782.37314450619</v>
      </c>
      <c r="I232">
        <v>55.629409642643189</v>
      </c>
    </row>
    <row r="233" spans="1:9" x14ac:dyDescent="0.2">
      <c r="A233">
        <v>223</v>
      </c>
      <c r="B233">
        <v>1481142.0585253094</v>
      </c>
      <c r="C233">
        <v>159817.11125247242</v>
      </c>
      <c r="D233">
        <v>162402.01509310878</v>
      </c>
      <c r="E233">
        <v>55777.147367651763</v>
      </c>
      <c r="F233">
        <v>39861.494817760504</v>
      </c>
      <c r="G233">
        <v>10000</v>
      </c>
      <c r="H233">
        <v>407857.76853099343</v>
      </c>
      <c r="I233">
        <v>43.916872940400062</v>
      </c>
    </row>
    <row r="234" spans="1:9" x14ac:dyDescent="0.2">
      <c r="A234">
        <v>224</v>
      </c>
      <c r="B234">
        <v>1058922.9479067384</v>
      </c>
      <c r="C234">
        <v>114773.6377770157</v>
      </c>
      <c r="D234">
        <v>111950.11522157016</v>
      </c>
      <c r="E234">
        <v>36867.006288899582</v>
      </c>
      <c r="F234">
        <v>38552.331204616123</v>
      </c>
      <c r="G234">
        <v>10000</v>
      </c>
      <c r="H234">
        <v>292143.09049210156</v>
      </c>
      <c r="I234">
        <v>53.591733820506718</v>
      </c>
    </row>
    <row r="235" spans="1:9" x14ac:dyDescent="0.2">
      <c r="A235">
        <v>225</v>
      </c>
      <c r="B235">
        <v>1717952.8325988818</v>
      </c>
      <c r="C235">
        <v>150651.91813502088</v>
      </c>
      <c r="D235">
        <v>126426.33508491273</v>
      </c>
      <c r="E235">
        <v>158694.0956841803</v>
      </c>
      <c r="F235">
        <v>46986.514316597102</v>
      </c>
      <c r="G235">
        <v>10000</v>
      </c>
      <c r="H235">
        <v>472758.86322071095</v>
      </c>
      <c r="I235">
        <v>36.249503274625823</v>
      </c>
    </row>
    <row r="236" spans="1:9" x14ac:dyDescent="0.2">
      <c r="A236">
        <v>226</v>
      </c>
      <c r="B236">
        <v>1756041.961915283</v>
      </c>
      <c r="C236">
        <v>129866.34411466181</v>
      </c>
      <c r="D236">
        <v>149907.4535122253</v>
      </c>
      <c r="E236">
        <v>165936.0126266054</v>
      </c>
      <c r="F236">
        <v>47487.877797226523</v>
      </c>
      <c r="G236">
        <v>10000</v>
      </c>
      <c r="H236">
        <v>483197.68805071904</v>
      </c>
      <c r="I236">
        <v>42.381274138787326</v>
      </c>
    </row>
    <row r="237" spans="1:9" x14ac:dyDescent="0.2">
      <c r="A237">
        <v>227</v>
      </c>
      <c r="B237">
        <v>1744909.4977985607</v>
      </c>
      <c r="C237">
        <v>145021.37433508414</v>
      </c>
      <c r="D237">
        <v>88918.312780452296</v>
      </c>
      <c r="E237">
        <v>205948.99590754788</v>
      </c>
      <c r="F237">
        <v>50258.007408984085</v>
      </c>
      <c r="G237">
        <v>10000</v>
      </c>
      <c r="H237">
        <v>480146.69043206837</v>
      </c>
      <c r="I237">
        <v>36.342392243714059</v>
      </c>
    </row>
    <row r="238" spans="1:9" x14ac:dyDescent="0.2">
      <c r="A238">
        <v>228</v>
      </c>
      <c r="B238">
        <v>1194618.8550643637</v>
      </c>
      <c r="C238">
        <v>96236.004559784487</v>
      </c>
      <c r="D238">
        <v>159886.18964498688</v>
      </c>
      <c r="E238">
        <v>44153.365693863678</v>
      </c>
      <c r="F238">
        <v>39056.771471113636</v>
      </c>
      <c r="G238">
        <v>10000</v>
      </c>
      <c r="H238">
        <v>329332.33136974869</v>
      </c>
      <c r="I238">
        <v>33.373491430791773</v>
      </c>
    </row>
    <row r="239" spans="1:9" x14ac:dyDescent="0.2">
      <c r="A239">
        <v>229</v>
      </c>
      <c r="B239">
        <v>862906.39722481556</v>
      </c>
      <c r="C239">
        <v>83948.965156855513</v>
      </c>
      <c r="D239">
        <v>70843.206108985614</v>
      </c>
      <c r="E239">
        <v>53898.575958645655</v>
      </c>
      <c r="F239">
        <v>39731.439874060088</v>
      </c>
      <c r="G239">
        <v>10000</v>
      </c>
      <c r="H239">
        <v>238422.18709854688</v>
      </c>
      <c r="I239">
        <v>41.462844898563517</v>
      </c>
    </row>
    <row r="240" spans="1:9" x14ac:dyDescent="0.2">
      <c r="A240">
        <v>230</v>
      </c>
      <c r="B240">
        <v>1175559.3947139585</v>
      </c>
      <c r="C240">
        <v>127002.26836088607</v>
      </c>
      <c r="D240">
        <v>62303.153704327291</v>
      </c>
      <c r="E240">
        <v>101758.5891287391</v>
      </c>
      <c r="F240">
        <v>43044.825401220398</v>
      </c>
      <c r="G240">
        <v>10000</v>
      </c>
      <c r="H240">
        <v>324108.83659517288</v>
      </c>
      <c r="I240">
        <v>40.928171784426524</v>
      </c>
    </row>
    <row r="241" spans="1:9" x14ac:dyDescent="0.2">
      <c r="A241">
        <v>231</v>
      </c>
      <c r="B241">
        <v>1471330.3020814352</v>
      </c>
      <c r="C241">
        <v>118138.64361775618</v>
      </c>
      <c r="D241">
        <v>74262.345743766855</v>
      </c>
      <c r="E241">
        <v>174674.86361552452</v>
      </c>
      <c r="F241">
        <v>48092.875173382468</v>
      </c>
      <c r="G241">
        <v>10000</v>
      </c>
      <c r="H241">
        <v>405168.72815043002</v>
      </c>
      <c r="I241">
        <v>55.730516648308935</v>
      </c>
    </row>
    <row r="242" spans="1:9" x14ac:dyDescent="0.2">
      <c r="A242">
        <v>232</v>
      </c>
      <c r="B242">
        <v>1542352.6546283676</v>
      </c>
      <c r="C242">
        <v>135488.39759080095</v>
      </c>
      <c r="D242">
        <v>73429.905947624051</v>
      </c>
      <c r="E242">
        <v>177431.32364861222</v>
      </c>
      <c r="F242">
        <v>48283.707021827002</v>
      </c>
      <c r="G242">
        <v>10000</v>
      </c>
      <c r="H242">
        <v>424633.33420886425</v>
      </c>
      <c r="I242">
        <v>36.6368930356467</v>
      </c>
    </row>
    <row r="243" spans="1:9" x14ac:dyDescent="0.2">
      <c r="A243">
        <v>233</v>
      </c>
      <c r="B243">
        <v>1157078.4383431587</v>
      </c>
      <c r="C243">
        <v>86078.733738796334</v>
      </c>
      <c r="D243">
        <v>97088.59031605882</v>
      </c>
      <c r="E243">
        <v>102762.25443680087</v>
      </c>
      <c r="F243">
        <v>43114.309922547756</v>
      </c>
      <c r="G243">
        <v>10000</v>
      </c>
      <c r="H243">
        <v>319043.88841420377</v>
      </c>
      <c r="I243">
        <v>38.929249979117714</v>
      </c>
    </row>
    <row r="244" spans="1:9" x14ac:dyDescent="0.2">
      <c r="A244">
        <v>234</v>
      </c>
      <c r="B244">
        <v>1512427.0697255989</v>
      </c>
      <c r="C244">
        <v>111231.38684755152</v>
      </c>
      <c r="D244">
        <v>114609.97145793252</v>
      </c>
      <c r="E244">
        <v>153933.53997382428</v>
      </c>
      <c r="F244">
        <v>46656.937382803218</v>
      </c>
      <c r="G244">
        <v>10000</v>
      </c>
      <c r="H244">
        <v>416431.83566211158</v>
      </c>
      <c r="I244">
        <v>44.451183547980534</v>
      </c>
    </row>
    <row r="245" spans="1:9" x14ac:dyDescent="0.2">
      <c r="A245">
        <v>235</v>
      </c>
      <c r="B245">
        <v>1283497.1772854412</v>
      </c>
      <c r="C245">
        <v>110216.25410210915</v>
      </c>
      <c r="D245">
        <v>59891.732570678592</v>
      </c>
      <c r="E245">
        <v>147379.42236606969</v>
      </c>
      <c r="F245">
        <v>46203.190779189441</v>
      </c>
      <c r="G245">
        <v>10000</v>
      </c>
      <c r="H245">
        <v>353690.5998180469</v>
      </c>
      <c r="I245">
        <v>55.67928038953329</v>
      </c>
    </row>
    <row r="246" spans="1:9" x14ac:dyDescent="0.2">
      <c r="A246">
        <v>236</v>
      </c>
      <c r="B246">
        <v>1560389.9726747037</v>
      </c>
      <c r="C246">
        <v>151668.73745492459</v>
      </c>
      <c r="D246">
        <v>115053.41940526961</v>
      </c>
      <c r="E246">
        <v>127993.45527058278</v>
      </c>
      <c r="F246">
        <v>44861.085364886501</v>
      </c>
      <c r="G246">
        <v>10000</v>
      </c>
      <c r="H246">
        <v>429576.69749566348</v>
      </c>
      <c r="I246">
        <v>30.267635226535845</v>
      </c>
    </row>
    <row r="247" spans="1:9" x14ac:dyDescent="0.2">
      <c r="A247">
        <v>237</v>
      </c>
      <c r="B247">
        <v>1094505.6163650844</v>
      </c>
      <c r="C247">
        <v>107044.81923375606</v>
      </c>
      <c r="D247">
        <v>112825.57095839542</v>
      </c>
      <c r="E247">
        <v>52397.104826338298</v>
      </c>
      <c r="F247">
        <v>39627.491872592655</v>
      </c>
      <c r="G247">
        <v>10000</v>
      </c>
      <c r="H247">
        <v>301894.98689108243</v>
      </c>
      <c r="I247">
        <v>28.689517792194529</v>
      </c>
    </row>
    <row r="248" spans="1:9" x14ac:dyDescent="0.2">
      <c r="A248">
        <v>238</v>
      </c>
      <c r="B248">
        <v>1493057.6875510747</v>
      </c>
      <c r="C248">
        <v>123199.16750822775</v>
      </c>
      <c r="D248">
        <v>151661.27475412193</v>
      </c>
      <c r="E248">
        <v>103123.63211250817</v>
      </c>
      <c r="F248">
        <v>43139.328377019796</v>
      </c>
      <c r="G248">
        <v>10000</v>
      </c>
      <c r="H248">
        <v>411123.40275187761</v>
      </c>
      <c r="I248">
        <v>35.512271138014242</v>
      </c>
    </row>
    <row r="249" spans="1:9" x14ac:dyDescent="0.2">
      <c r="A249">
        <v>239</v>
      </c>
      <c r="B249">
        <v>888403.53837319277</v>
      </c>
      <c r="C249">
        <v>89003.508214675923</v>
      </c>
      <c r="D249">
        <v>61407.989938116509</v>
      </c>
      <c r="E249">
        <v>64530.984758090839</v>
      </c>
      <c r="F249">
        <v>40467.529714021672</v>
      </c>
      <c r="G249">
        <v>10000</v>
      </c>
      <c r="H249">
        <v>245410.01262490492</v>
      </c>
      <c r="I249">
        <v>39.313721555850528</v>
      </c>
    </row>
    <row r="250" spans="1:9" x14ac:dyDescent="0.2">
      <c r="A250">
        <v>240</v>
      </c>
      <c r="B250">
        <v>1459383.0314363441</v>
      </c>
      <c r="C250">
        <v>127540.04075098876</v>
      </c>
      <c r="D250">
        <v>61575.298070319921</v>
      </c>
      <c r="E250">
        <v>174685.47359738935</v>
      </c>
      <c r="F250">
        <v>48093.609710588498</v>
      </c>
      <c r="G250">
        <v>10000</v>
      </c>
      <c r="H250">
        <v>401894.42212928657</v>
      </c>
      <c r="I250">
        <v>38.426142691787291</v>
      </c>
    </row>
    <row r="251" spans="1:9" x14ac:dyDescent="0.2">
      <c r="A251">
        <v>241</v>
      </c>
      <c r="B251">
        <v>1484870.7961444017</v>
      </c>
      <c r="C251">
        <v>117632.22962484825</v>
      </c>
      <c r="D251">
        <v>78567.145590640444</v>
      </c>
      <c r="E251">
        <v>174593.08885972662</v>
      </c>
      <c r="F251">
        <v>48087.213844134916</v>
      </c>
      <c r="G251">
        <v>10000</v>
      </c>
      <c r="H251">
        <v>408879.67791935022</v>
      </c>
      <c r="I251">
        <v>31.200381399919767</v>
      </c>
    </row>
    <row r="252" spans="1:9" x14ac:dyDescent="0.2">
      <c r="A252">
        <v>242</v>
      </c>
      <c r="B252">
        <v>1823081.610681619</v>
      </c>
      <c r="C252">
        <v>147881.89434664696</v>
      </c>
      <c r="D252">
        <v>127874.41683249388</v>
      </c>
      <c r="E252">
        <v>186876.84318331812</v>
      </c>
      <c r="F252">
        <v>48937.627604998954</v>
      </c>
      <c r="G252">
        <v>10000</v>
      </c>
      <c r="H252">
        <v>501570.78196745791</v>
      </c>
      <c r="I252">
        <v>38.224530087904895</v>
      </c>
    </row>
    <row r="253" spans="1:9" x14ac:dyDescent="0.2">
      <c r="A253">
        <v>243</v>
      </c>
      <c r="B253">
        <v>983550.72235001042</v>
      </c>
      <c r="C253">
        <v>115113.90930502106</v>
      </c>
      <c r="D253">
        <v>55307.947378340796</v>
      </c>
      <c r="E253">
        <v>70204.197477119145</v>
      </c>
      <c r="F253">
        <v>40860.290594569786</v>
      </c>
      <c r="G253">
        <v>10000</v>
      </c>
      <c r="H253">
        <v>271486.34475505084</v>
      </c>
      <c r="I253">
        <v>37.192847168034191</v>
      </c>
    </row>
    <row r="254" spans="1:9" x14ac:dyDescent="0.2">
      <c r="A254">
        <v>244</v>
      </c>
      <c r="B254">
        <v>1335969.7869021944</v>
      </c>
      <c r="C254">
        <v>104606.51373867625</v>
      </c>
      <c r="D254">
        <v>74650.621178874499</v>
      </c>
      <c r="E254">
        <v>152272.33970964039</v>
      </c>
      <c r="F254">
        <v>46541.931210667419</v>
      </c>
      <c r="G254">
        <v>10000</v>
      </c>
      <c r="H254">
        <v>368071.40583785856</v>
      </c>
      <c r="I254">
        <v>29.590231119558915</v>
      </c>
    </row>
    <row r="255" spans="1:9" x14ac:dyDescent="0.2">
      <c r="A255">
        <v>245</v>
      </c>
      <c r="B255">
        <v>1282903.258882327</v>
      </c>
      <c r="C255">
        <v>105476.93037620063</v>
      </c>
      <c r="D255">
        <v>137736.50290887654</v>
      </c>
      <c r="E255">
        <v>78855.189956177637</v>
      </c>
      <c r="F255">
        <v>41459.205458504606</v>
      </c>
      <c r="G255">
        <v>10000</v>
      </c>
      <c r="H255">
        <v>353527.82869975944</v>
      </c>
      <c r="I255">
        <v>35.278204537255199</v>
      </c>
    </row>
    <row r="256" spans="1:9" x14ac:dyDescent="0.2">
      <c r="A256">
        <v>246</v>
      </c>
      <c r="B256">
        <v>1254479.5021958663</v>
      </c>
      <c r="C256">
        <v>96813.195640320177</v>
      </c>
      <c r="D256">
        <v>82239.668125020849</v>
      </c>
      <c r="E256">
        <v>131575.95734403748</v>
      </c>
      <c r="F256">
        <v>45109.104739202594</v>
      </c>
      <c r="G256">
        <v>10000</v>
      </c>
      <c r="H256">
        <v>345737.92584858107</v>
      </c>
      <c r="I256">
        <v>43.559685286234021</v>
      </c>
    </row>
    <row r="257" spans="1:9" x14ac:dyDescent="0.2">
      <c r="A257">
        <v>247</v>
      </c>
      <c r="B257">
        <v>1620541.6197202054</v>
      </c>
      <c r="C257">
        <v>123548.47493698073</v>
      </c>
      <c r="D257">
        <v>84103.173030837017</v>
      </c>
      <c r="E257">
        <v>198657.20521475197</v>
      </c>
      <c r="F257">
        <v>49753.19113025206</v>
      </c>
      <c r="G257">
        <v>10000</v>
      </c>
      <c r="H257">
        <v>446062.04431282182</v>
      </c>
      <c r="I257">
        <v>55.276848624372121</v>
      </c>
    </row>
    <row r="258" spans="1:9" x14ac:dyDescent="0.2">
      <c r="A258">
        <v>248</v>
      </c>
      <c r="B258">
        <v>1123671.1468332277</v>
      </c>
      <c r="C258">
        <v>147014.35614230196</v>
      </c>
      <c r="D258">
        <v>53449.307126461448</v>
      </c>
      <c r="E258">
        <v>78022.931714825958</v>
      </c>
      <c r="F258">
        <v>41401.587580257183</v>
      </c>
      <c r="G258">
        <v>10000</v>
      </c>
      <c r="H258">
        <v>309888.18256384658</v>
      </c>
      <c r="I258">
        <v>31.496561494245945</v>
      </c>
    </row>
    <row r="259" spans="1:9" x14ac:dyDescent="0.2">
      <c r="A259">
        <v>249</v>
      </c>
      <c r="B259">
        <v>1782039.0130958008</v>
      </c>
      <c r="C259">
        <v>148841.94307618157</v>
      </c>
      <c r="D259">
        <v>111544.8644506105</v>
      </c>
      <c r="E259">
        <v>190731.24232085078</v>
      </c>
      <c r="F259">
        <v>49204.47062221275</v>
      </c>
      <c r="G259">
        <v>10000</v>
      </c>
      <c r="H259">
        <v>490322.52046985563</v>
      </c>
      <c r="I259">
        <v>35.140779116052457</v>
      </c>
    </row>
    <row r="260" spans="1:9" x14ac:dyDescent="0.2">
      <c r="A260">
        <v>250</v>
      </c>
      <c r="B260">
        <v>1204486.2221679839</v>
      </c>
      <c r="C260">
        <v>140432.50448294406</v>
      </c>
      <c r="D260">
        <v>34490.979809873497</v>
      </c>
      <c r="E260">
        <v>122623.78904563746</v>
      </c>
      <c r="F260">
        <v>44489.339241621055</v>
      </c>
      <c r="G260">
        <v>10000</v>
      </c>
      <c r="H260">
        <v>332036.61258007609</v>
      </c>
      <c r="I260">
        <v>30.070145332637896</v>
      </c>
    </row>
    <row r="261" spans="1:9" x14ac:dyDescent="0.2">
      <c r="A261">
        <v>251</v>
      </c>
      <c r="B261">
        <v>1378757.7891865931</v>
      </c>
      <c r="C261">
        <v>151595.70941903969</v>
      </c>
      <c r="D261">
        <v>76041.613079977178</v>
      </c>
      <c r="E261">
        <v>117992.01770860834</v>
      </c>
      <c r="F261">
        <v>44168.678149057501</v>
      </c>
      <c r="G261">
        <v>10000</v>
      </c>
      <c r="H261">
        <v>379798.01835668273</v>
      </c>
      <c r="I261">
        <v>36.897174054904781</v>
      </c>
    </row>
    <row r="262" spans="1:9" x14ac:dyDescent="0.2">
      <c r="A262">
        <v>252</v>
      </c>
      <c r="B262">
        <v>1009397.4586708851</v>
      </c>
      <c r="C262">
        <v>110265.69955886614</v>
      </c>
      <c r="D262">
        <v>52224.302245768034</v>
      </c>
      <c r="E262">
        <v>84247.462947642882</v>
      </c>
      <c r="F262">
        <v>41832.516665606046</v>
      </c>
      <c r="G262">
        <v>10000</v>
      </c>
      <c r="H262">
        <v>278569.98141788313</v>
      </c>
      <c r="I262">
        <v>39.200907383443095</v>
      </c>
    </row>
    <row r="263" spans="1:9" x14ac:dyDescent="0.2">
      <c r="A263">
        <v>253</v>
      </c>
      <c r="B263">
        <v>1162557.0287364605</v>
      </c>
      <c r="C263">
        <v>78053.386100685864</v>
      </c>
      <c r="D263">
        <v>90908.776046671876</v>
      </c>
      <c r="E263">
        <v>117451.91902788694</v>
      </c>
      <c r="F263">
        <v>44131.286701930636</v>
      </c>
      <c r="G263">
        <v>10000</v>
      </c>
      <c r="H263">
        <v>320545.36787717527</v>
      </c>
      <c r="I263">
        <v>34.752595066793617</v>
      </c>
    </row>
    <row r="264" spans="1:9" x14ac:dyDescent="0.2">
      <c r="A264">
        <v>254</v>
      </c>
      <c r="B264">
        <v>1263552.6147376229</v>
      </c>
      <c r="C264">
        <v>105849.3233004294</v>
      </c>
      <c r="D264">
        <v>106533.80833717583</v>
      </c>
      <c r="E264">
        <v>102729.36648977104</v>
      </c>
      <c r="F264">
        <v>43112.033064676456</v>
      </c>
      <c r="G264">
        <v>10000</v>
      </c>
      <c r="H264">
        <v>348224.5311920527</v>
      </c>
      <c r="I264">
        <v>34.081383294648958</v>
      </c>
    </row>
    <row r="265" spans="1:9" x14ac:dyDescent="0.2">
      <c r="A265">
        <v>255</v>
      </c>
      <c r="B265">
        <v>1634206.4656601292</v>
      </c>
      <c r="C265">
        <v>143015.84330202558</v>
      </c>
      <c r="D265">
        <v>62771.613962186821</v>
      </c>
      <c r="E265">
        <v>203903.23899412362</v>
      </c>
      <c r="F265">
        <v>50116.378084208554</v>
      </c>
      <c r="G265">
        <v>10000</v>
      </c>
      <c r="H265">
        <v>449807.07434254454</v>
      </c>
      <c r="I265">
        <v>24.024515170178201</v>
      </c>
    </row>
    <row r="266" spans="1:9" x14ac:dyDescent="0.2">
      <c r="A266">
        <v>256</v>
      </c>
      <c r="B266">
        <v>1265722.746686592</v>
      </c>
      <c r="C266">
        <v>105087.47886682012</v>
      </c>
      <c r="D266">
        <v>49555.643926029443</v>
      </c>
      <c r="E266">
        <v>157287.0575058487</v>
      </c>
      <c r="F266">
        <v>46889.103981174136</v>
      </c>
      <c r="G266">
        <v>10000</v>
      </c>
      <c r="H266">
        <v>348819.28427987237</v>
      </c>
      <c r="I266">
        <v>37.109586551437772</v>
      </c>
    </row>
    <row r="267" spans="1:9" x14ac:dyDescent="0.2">
      <c r="A267">
        <v>257</v>
      </c>
      <c r="B267">
        <v>1164393.9453411226</v>
      </c>
      <c r="C267">
        <v>93766.874409606156</v>
      </c>
      <c r="D267">
        <v>121247.5097597959</v>
      </c>
      <c r="E267">
        <v>74852.330356315186</v>
      </c>
      <c r="F267">
        <v>41182.084409283365</v>
      </c>
      <c r="G267">
        <v>10000</v>
      </c>
      <c r="H267">
        <v>321048.79893500061</v>
      </c>
      <c r="I267">
        <v>33.516597369311313</v>
      </c>
    </row>
    <row r="268" spans="1:9" x14ac:dyDescent="0.2">
      <c r="A268">
        <v>258</v>
      </c>
      <c r="B268">
        <v>1349158.823915462</v>
      </c>
      <c r="C268">
        <v>102770.46863946339</v>
      </c>
      <c r="D268">
        <v>47289.599330135927</v>
      </c>
      <c r="E268">
        <v>182959.53676081271</v>
      </c>
      <c r="F268">
        <v>48666.429468056267</v>
      </c>
      <c r="G268">
        <v>10000</v>
      </c>
      <c r="H268">
        <v>371686.03419846826</v>
      </c>
      <c r="I268">
        <v>30.917430069496582</v>
      </c>
    </row>
    <row r="269" spans="1:9" x14ac:dyDescent="0.2">
      <c r="A269">
        <v>259</v>
      </c>
      <c r="B269">
        <v>1311393.0087282257</v>
      </c>
      <c r="C269">
        <v>124462.35725785578</v>
      </c>
      <c r="D269">
        <v>64021.884658503339</v>
      </c>
      <c r="E269">
        <v>137343.2005048221</v>
      </c>
      <c r="F269">
        <v>45508.375419564603</v>
      </c>
      <c r="G269">
        <v>10000</v>
      </c>
      <c r="H269">
        <v>361335.81784074585</v>
      </c>
      <c r="I269">
        <v>39.667777995443572</v>
      </c>
    </row>
    <row r="270" spans="1:9" x14ac:dyDescent="0.2">
      <c r="A270">
        <v>260</v>
      </c>
      <c r="B270">
        <v>1048463.4753109216</v>
      </c>
      <c r="C270">
        <v>127998.1958114411</v>
      </c>
      <c r="D270">
        <v>72377.392462702075</v>
      </c>
      <c r="E270">
        <v>58828.223571026465</v>
      </c>
      <c r="F270">
        <v>40072.723170301833</v>
      </c>
      <c r="G270">
        <v>10000</v>
      </c>
      <c r="H270">
        <v>289276.53501547145</v>
      </c>
      <c r="I270">
        <v>31.652789871101088</v>
      </c>
    </row>
    <row r="271" spans="1:9" x14ac:dyDescent="0.2">
      <c r="A271">
        <v>261</v>
      </c>
      <c r="B271">
        <v>1027737.9043709099</v>
      </c>
      <c r="C271">
        <v>122297.68013391584</v>
      </c>
      <c r="D271">
        <v>80779.310163035203</v>
      </c>
      <c r="E271">
        <v>50989.395442862835</v>
      </c>
      <c r="F271">
        <v>39530.035069121273</v>
      </c>
      <c r="G271">
        <v>10000</v>
      </c>
      <c r="H271">
        <v>283596.42080893513</v>
      </c>
      <c r="I271">
        <v>32.975814221981722</v>
      </c>
    </row>
    <row r="272" spans="1:9" x14ac:dyDescent="0.2">
      <c r="A272">
        <v>262</v>
      </c>
      <c r="B272">
        <v>1061884.0081119197</v>
      </c>
      <c r="C272">
        <v>100219.57114598044</v>
      </c>
      <c r="D272">
        <v>105535.90349043383</v>
      </c>
      <c r="E272">
        <v>57236.599388881092</v>
      </c>
      <c r="F272">
        <v>39962.533803845618</v>
      </c>
      <c r="G272">
        <v>10000</v>
      </c>
      <c r="H272">
        <v>292954.60782914096</v>
      </c>
      <c r="I272">
        <v>35.698192402772833</v>
      </c>
    </row>
    <row r="273" spans="1:9" x14ac:dyDescent="0.2">
      <c r="A273">
        <v>263</v>
      </c>
      <c r="B273">
        <v>1242218.441813133</v>
      </c>
      <c r="C273">
        <v>95501.934396819372</v>
      </c>
      <c r="D273">
        <v>75167.76940089374</v>
      </c>
      <c r="E273">
        <v>136273.59222604887</v>
      </c>
      <c r="F273">
        <v>45434.325615649534</v>
      </c>
      <c r="G273">
        <v>10000</v>
      </c>
      <c r="H273">
        <v>342377.62163941149</v>
      </c>
      <c r="I273">
        <v>34.328806951902322</v>
      </c>
    </row>
    <row r="274" spans="1:9" x14ac:dyDescent="0.2">
      <c r="A274">
        <v>264</v>
      </c>
      <c r="B274">
        <v>1219001.9847777192</v>
      </c>
      <c r="C274">
        <v>122442.80981929561</v>
      </c>
      <c r="D274">
        <v>95949.859628677325</v>
      </c>
      <c r="E274">
        <v>85689.806782789936</v>
      </c>
      <c r="F274">
        <v>41932.371238808533</v>
      </c>
      <c r="G274">
        <v>10000</v>
      </c>
      <c r="H274">
        <v>336014.84746957145</v>
      </c>
      <c r="I274">
        <v>31.607880909399896</v>
      </c>
    </row>
    <row r="275" spans="1:9" x14ac:dyDescent="0.2">
      <c r="A275">
        <v>265</v>
      </c>
      <c r="B275">
        <v>1633247.5680217694</v>
      </c>
      <c r="C275">
        <v>94080.441922914571</v>
      </c>
      <c r="D275">
        <v>112729.92477052512</v>
      </c>
      <c r="E275">
        <v>202700.77837953565</v>
      </c>
      <c r="F275">
        <v>50033.130810890929</v>
      </c>
      <c r="G275">
        <v>10000</v>
      </c>
      <c r="H275">
        <v>449544.27588386624</v>
      </c>
      <c r="I275">
        <v>55.574518936976524</v>
      </c>
    </row>
    <row r="276" spans="1:9" x14ac:dyDescent="0.2">
      <c r="A276">
        <v>266</v>
      </c>
      <c r="B276">
        <v>1429774.0367307062</v>
      </c>
      <c r="C276">
        <v>123435.42229472668</v>
      </c>
      <c r="D276">
        <v>53044.888851516422</v>
      </c>
      <c r="E276">
        <v>178913.0874568352</v>
      </c>
      <c r="F276">
        <v>48386.290670088594</v>
      </c>
      <c r="G276">
        <v>10000</v>
      </c>
      <c r="H276">
        <v>393779.68927316694</v>
      </c>
      <c r="I276">
        <v>53.191561273604663</v>
      </c>
    </row>
    <row r="277" spans="1:9" x14ac:dyDescent="0.2">
      <c r="A277">
        <v>267</v>
      </c>
      <c r="B277">
        <v>1548795.7680756152</v>
      </c>
      <c r="C277">
        <v>135965.13180213759</v>
      </c>
      <c r="D277">
        <v>89741.740328324522</v>
      </c>
      <c r="E277">
        <v>163381.2706723359</v>
      </c>
      <c r="F277">
        <v>47311.011046546337</v>
      </c>
      <c r="G277">
        <v>10000</v>
      </c>
      <c r="H277">
        <v>426399.15384934435</v>
      </c>
      <c r="I277">
        <v>36.520250092674274</v>
      </c>
    </row>
    <row r="278" spans="1:9" x14ac:dyDescent="0.2">
      <c r="A278">
        <v>268</v>
      </c>
      <c r="B278">
        <v>1605113.5091295913</v>
      </c>
      <c r="C278">
        <v>136473.40632760208</v>
      </c>
      <c r="D278">
        <v>153262.94275497561</v>
      </c>
      <c r="E278">
        <v>117932.83831159165</v>
      </c>
      <c r="F278">
        <v>44164.581113879423</v>
      </c>
      <c r="G278">
        <v>10000</v>
      </c>
      <c r="H278">
        <v>441833.76850804873</v>
      </c>
      <c r="I278">
        <v>31.608117589853414</v>
      </c>
    </row>
    <row r="279" spans="1:9" x14ac:dyDescent="0.2">
      <c r="A279">
        <v>269</v>
      </c>
      <c r="B279">
        <v>1265663.3918308676</v>
      </c>
      <c r="C279">
        <v>102340.43173189668</v>
      </c>
      <c r="D279">
        <v>88731.197673319344</v>
      </c>
      <c r="E279">
        <v>123202.01745943858</v>
      </c>
      <c r="F279">
        <v>44529.370439499595</v>
      </c>
      <c r="G279">
        <v>10000</v>
      </c>
      <c r="H279">
        <v>348803.01730415423</v>
      </c>
      <c r="I279">
        <v>36.899026615061132</v>
      </c>
    </row>
    <row r="280" spans="1:9" x14ac:dyDescent="0.2">
      <c r="A280">
        <v>270</v>
      </c>
      <c r="B280">
        <v>1029469.1211172226</v>
      </c>
      <c r="C280">
        <v>140502.17895817998</v>
      </c>
      <c r="D280">
        <v>54765.704747196171</v>
      </c>
      <c r="E280">
        <v>58736.618453088224</v>
      </c>
      <c r="F280">
        <v>40066.38127752149</v>
      </c>
      <c r="G280">
        <v>10000</v>
      </c>
      <c r="H280">
        <v>284070.88343598589</v>
      </c>
      <c r="I280">
        <v>33.194428055209265</v>
      </c>
    </row>
    <row r="281" spans="1:9" x14ac:dyDescent="0.2">
      <c r="A281">
        <v>271</v>
      </c>
      <c r="B281">
        <v>1414862.8948916784</v>
      </c>
      <c r="C281">
        <v>123709.92512404571</v>
      </c>
      <c r="D281">
        <v>106679.58873015585</v>
      </c>
      <c r="E281">
        <v>124672.4145138415</v>
      </c>
      <c r="F281">
        <v>44631.167158650569</v>
      </c>
      <c r="G281">
        <v>10000</v>
      </c>
      <c r="H281">
        <v>389693.09552669362</v>
      </c>
      <c r="I281">
        <v>45.976738805173525</v>
      </c>
    </row>
    <row r="282" spans="1:9" x14ac:dyDescent="0.2">
      <c r="A282">
        <v>272</v>
      </c>
      <c r="B282">
        <v>1304245.3630117392</v>
      </c>
      <c r="C282">
        <v>91767.897735330465</v>
      </c>
      <c r="D282">
        <v>65039.523586170581</v>
      </c>
      <c r="E282">
        <v>165136.93363737568</v>
      </c>
      <c r="F282">
        <v>47432.556944126009</v>
      </c>
      <c r="G282">
        <v>10000</v>
      </c>
      <c r="H282">
        <v>359376.91190300277</v>
      </c>
      <c r="I282">
        <v>45.540968424114311</v>
      </c>
    </row>
    <row r="283" spans="1:9" x14ac:dyDescent="0.2">
      <c r="A283">
        <v>273</v>
      </c>
      <c r="B283">
        <v>1606542.788325866</v>
      </c>
      <c r="C283">
        <v>129994.77063393893</v>
      </c>
      <c r="D283">
        <v>121018.74094938007</v>
      </c>
      <c r="E283">
        <v>154514.7917225392</v>
      </c>
      <c r="F283">
        <v>46697.177888483486</v>
      </c>
      <c r="G283">
        <v>10000</v>
      </c>
      <c r="H283">
        <v>442225.48119434167</v>
      </c>
      <c r="I283">
        <v>43.025823930508594</v>
      </c>
    </row>
    <row r="284" spans="1:9" x14ac:dyDescent="0.2">
      <c r="A284">
        <v>274</v>
      </c>
      <c r="B284">
        <v>1247574.0624308486</v>
      </c>
      <c r="C284">
        <v>143431.3904964893</v>
      </c>
      <c r="D284">
        <v>49070.798664287548</v>
      </c>
      <c r="E284">
        <v>117227.46302368763</v>
      </c>
      <c r="F284">
        <v>44115.747440101448</v>
      </c>
      <c r="G284">
        <v>10000</v>
      </c>
      <c r="H284">
        <v>343845.39962456597</v>
      </c>
      <c r="I284">
        <v>33.391215899478276</v>
      </c>
    </row>
    <row r="285" spans="1:9" x14ac:dyDescent="0.2">
      <c r="A285">
        <v>275</v>
      </c>
      <c r="B285">
        <v>1364719.5317851114</v>
      </c>
      <c r="C285">
        <v>106517.52031738084</v>
      </c>
      <c r="D285">
        <v>76863.904064489237</v>
      </c>
      <c r="E285">
        <v>155784.16786720051</v>
      </c>
      <c r="F285">
        <v>46785.057775421577</v>
      </c>
      <c r="G285">
        <v>10000</v>
      </c>
      <c r="H285">
        <v>375950.65002449218</v>
      </c>
      <c r="I285">
        <v>30.542899039327793</v>
      </c>
    </row>
    <row r="286" spans="1:9" x14ac:dyDescent="0.2">
      <c r="A286">
        <v>276</v>
      </c>
      <c r="B286">
        <v>1137686.0540358222</v>
      </c>
      <c r="C286">
        <v>93929.048942212452</v>
      </c>
      <c r="D286">
        <v>83037.601029849495</v>
      </c>
      <c r="E286">
        <v>103590.82873735869</v>
      </c>
      <c r="F286">
        <v>43171.672758740213</v>
      </c>
      <c r="G286">
        <v>10000</v>
      </c>
      <c r="H286">
        <v>313729.15146816085</v>
      </c>
      <c r="I286">
        <v>42.05884747527702</v>
      </c>
    </row>
    <row r="287" spans="1:9" x14ac:dyDescent="0.2">
      <c r="A287">
        <v>277</v>
      </c>
      <c r="B287">
        <v>1380760.8910264643</v>
      </c>
      <c r="C287">
        <v>87350.888901261947</v>
      </c>
      <c r="D287">
        <v>106674.49547675955</v>
      </c>
      <c r="E287">
        <v>149941.07435988283</v>
      </c>
      <c r="F287">
        <v>46380.535917222653</v>
      </c>
      <c r="G287">
        <v>10000</v>
      </c>
      <c r="H287">
        <v>380346.994655127</v>
      </c>
      <c r="I287">
        <v>45.231884726419992</v>
      </c>
    </row>
    <row r="288" spans="1:9" x14ac:dyDescent="0.2">
      <c r="A288">
        <v>278</v>
      </c>
      <c r="B288">
        <v>1080806.1954979049</v>
      </c>
      <c r="C288">
        <v>124986.02869674738</v>
      </c>
      <c r="D288">
        <v>94481.884574384356</v>
      </c>
      <c r="E288">
        <v>49262.113843207364</v>
      </c>
      <c r="F288">
        <v>39410.454035298972</v>
      </c>
      <c r="G288">
        <v>10000</v>
      </c>
      <c r="H288">
        <v>298140.48114963807</v>
      </c>
      <c r="I288">
        <v>26.118766687988668</v>
      </c>
    </row>
    <row r="289" spans="1:9" x14ac:dyDescent="0.2">
      <c r="A289">
        <v>279</v>
      </c>
      <c r="B289">
        <v>1680790.7938554466</v>
      </c>
      <c r="C289">
        <v>134004.50890364236</v>
      </c>
      <c r="D289">
        <v>81732.546468896369</v>
      </c>
      <c r="E289">
        <v>206538.26160726423</v>
      </c>
      <c r="F289">
        <v>50298.802726656751</v>
      </c>
      <c r="G289">
        <v>10000</v>
      </c>
      <c r="H289">
        <v>462574.11970645969</v>
      </c>
      <c r="I289">
        <v>25.894812149232791</v>
      </c>
    </row>
    <row r="290" spans="1:9" x14ac:dyDescent="0.2">
      <c r="A290">
        <v>280</v>
      </c>
      <c r="B290">
        <v>1393137.846726557</v>
      </c>
      <c r="C290">
        <v>122794.52433954629</v>
      </c>
      <c r="D290">
        <v>129131.90521925592</v>
      </c>
      <c r="E290">
        <v>98961.45432803825</v>
      </c>
      <c r="F290">
        <v>42851.177607325728</v>
      </c>
      <c r="G290">
        <v>10000</v>
      </c>
      <c r="H290">
        <v>383739.06149416621</v>
      </c>
      <c r="I290">
        <v>37.196860556145467</v>
      </c>
    </row>
    <row r="291" spans="1:9" x14ac:dyDescent="0.2">
      <c r="A291">
        <v>281</v>
      </c>
      <c r="B291">
        <v>1247864.6267849139</v>
      </c>
      <c r="C291">
        <v>103196.01496736905</v>
      </c>
      <c r="D291">
        <v>113848.24248119908</v>
      </c>
      <c r="E291">
        <v>94348.926393125177</v>
      </c>
      <c r="F291">
        <v>42531.848750293284</v>
      </c>
      <c r="G291">
        <v>10000</v>
      </c>
      <c r="H291">
        <v>343925.03259198659</v>
      </c>
      <c r="I291">
        <v>50.781712678422537</v>
      </c>
    </row>
    <row r="292" spans="1:9" x14ac:dyDescent="0.2">
      <c r="A292">
        <v>282</v>
      </c>
      <c r="B292">
        <v>1576066.3750891939</v>
      </c>
      <c r="C292">
        <v>115747.44329740036</v>
      </c>
      <c r="D292">
        <v>124900.94570127268</v>
      </c>
      <c r="E292">
        <v>156397.13777489858</v>
      </c>
      <c r="F292">
        <v>46827.494153646825</v>
      </c>
      <c r="G292">
        <v>10000</v>
      </c>
      <c r="H292">
        <v>433873.02092721843</v>
      </c>
      <c r="I292">
        <v>46.784411879393879</v>
      </c>
    </row>
    <row r="293" spans="1:9" x14ac:dyDescent="0.2">
      <c r="A293">
        <v>283</v>
      </c>
      <c r="B293">
        <v>1188641.7192962158</v>
      </c>
      <c r="C293">
        <v>132369.68357216817</v>
      </c>
      <c r="D293">
        <v>56774.585098846452</v>
      </c>
      <c r="E293">
        <v>105262.54348830874</v>
      </c>
      <c r="F293">
        <v>43287.40685688291</v>
      </c>
      <c r="G293">
        <v>10000</v>
      </c>
      <c r="H293">
        <v>327694.21901620628</v>
      </c>
      <c r="I293">
        <v>37.543925820459762</v>
      </c>
    </row>
    <row r="294" spans="1:9" x14ac:dyDescent="0.2">
      <c r="A294">
        <v>284</v>
      </c>
      <c r="B294">
        <v>1308545.4184956886</v>
      </c>
      <c r="C294">
        <v>103022.54848907277</v>
      </c>
      <c r="D294">
        <v>146982.66681272755</v>
      </c>
      <c r="E294">
        <v>79075.710845015841</v>
      </c>
      <c r="F294">
        <v>41474.472289270328</v>
      </c>
      <c r="G294">
        <v>10000</v>
      </c>
      <c r="H294">
        <v>360555.39843608649</v>
      </c>
      <c r="I294">
        <v>33.759117270158356</v>
      </c>
    </row>
    <row r="295" spans="1:9" x14ac:dyDescent="0.2">
      <c r="A295">
        <v>285</v>
      </c>
      <c r="B295">
        <v>1630034.3507346879</v>
      </c>
      <c r="C295">
        <v>134381.30455829177</v>
      </c>
      <c r="D295">
        <v>78291.112052553959</v>
      </c>
      <c r="E295">
        <v>196394.68020142973</v>
      </c>
      <c r="F295">
        <v>49596.554783175903</v>
      </c>
      <c r="G295">
        <v>10000</v>
      </c>
      <c r="H295">
        <v>448663.6515954514</v>
      </c>
      <c r="I295">
        <v>36.788666305456232</v>
      </c>
    </row>
    <row r="296" spans="1:9" x14ac:dyDescent="0.2">
      <c r="A296">
        <v>286</v>
      </c>
      <c r="B296">
        <v>1765823.2393518258</v>
      </c>
      <c r="C296">
        <v>139698.88521287873</v>
      </c>
      <c r="D296">
        <v>142248.69023795053</v>
      </c>
      <c r="E296">
        <v>166410.10054101632</v>
      </c>
      <c r="F296">
        <v>47520.699268224205</v>
      </c>
      <c r="G296">
        <v>10000</v>
      </c>
      <c r="H296">
        <v>485878.37526006973</v>
      </c>
      <c r="I296">
        <v>24.856978899047682</v>
      </c>
    </row>
    <row r="297" spans="1:9" x14ac:dyDescent="0.2">
      <c r="A297">
        <v>287</v>
      </c>
      <c r="B297">
        <v>1300320.9577820385</v>
      </c>
      <c r="C297">
        <v>100698.18067953218</v>
      </c>
      <c r="D297">
        <v>74241.443473410662</v>
      </c>
      <c r="E297">
        <v>147172.86260207189</v>
      </c>
      <c r="F297">
        <v>46188.89048783575</v>
      </c>
      <c r="G297">
        <v>10000</v>
      </c>
      <c r="H297">
        <v>358301.37724285049</v>
      </c>
      <c r="I297">
        <v>50.150364569259452</v>
      </c>
    </row>
    <row r="298" spans="1:9" x14ac:dyDescent="0.2">
      <c r="A298">
        <v>288</v>
      </c>
      <c r="B298">
        <v>1331967.3708413623</v>
      </c>
      <c r="C298">
        <v>82494.935231005642</v>
      </c>
      <c r="D298">
        <v>120628.16307368099</v>
      </c>
      <c r="E298">
        <v>128925.76322138068</v>
      </c>
      <c r="F298">
        <v>44925.629761480202</v>
      </c>
      <c r="G298">
        <v>10000</v>
      </c>
      <c r="H298">
        <v>366974.49128754751</v>
      </c>
      <c r="I298">
        <v>36.456209176440225</v>
      </c>
    </row>
    <row r="299" spans="1:9" x14ac:dyDescent="0.2">
      <c r="A299">
        <v>289</v>
      </c>
      <c r="B299">
        <v>883279.77441529382</v>
      </c>
      <c r="C299">
        <v>117968.76657194129</v>
      </c>
      <c r="D299">
        <v>50322.731520397414</v>
      </c>
      <c r="E299">
        <v>46495.369692699438</v>
      </c>
      <c r="F299">
        <v>39218.910209494577</v>
      </c>
      <c r="G299">
        <v>10000</v>
      </c>
      <c r="H299">
        <v>244005.77799453272</v>
      </c>
      <c r="I299">
        <v>45.582749265565234</v>
      </c>
    </row>
    <row r="300" spans="1:9" x14ac:dyDescent="0.2">
      <c r="A300">
        <v>290</v>
      </c>
      <c r="B300">
        <v>1428590.6977466159</v>
      </c>
      <c r="C300">
        <v>129119.04405358403</v>
      </c>
      <c r="D300">
        <v>70161.631547536046</v>
      </c>
      <c r="E300">
        <v>157285.69450310155</v>
      </c>
      <c r="F300">
        <v>46889.009619445489</v>
      </c>
      <c r="G300">
        <v>10000</v>
      </c>
      <c r="H300">
        <v>393455.37972366711</v>
      </c>
      <c r="I300">
        <v>32.439584309670032</v>
      </c>
    </row>
    <row r="301" spans="1:9" x14ac:dyDescent="0.2">
      <c r="A301">
        <v>291</v>
      </c>
      <c r="B301">
        <v>1006201.5597623957</v>
      </c>
      <c r="C301">
        <v>111687.05767233143</v>
      </c>
      <c r="D301">
        <v>103497.43515759983</v>
      </c>
      <c r="E301">
        <v>34145.679004649923</v>
      </c>
      <c r="F301">
        <v>38363.931623398836</v>
      </c>
      <c r="G301">
        <v>10000</v>
      </c>
      <c r="H301">
        <v>277694.10345798003</v>
      </c>
      <c r="I301">
        <v>46.256245198778288</v>
      </c>
    </row>
    <row r="302" spans="1:9" x14ac:dyDescent="0.2">
      <c r="A302">
        <v>292</v>
      </c>
      <c r="B302">
        <v>1749609.5618438241</v>
      </c>
      <c r="C302">
        <v>130452.5368008107</v>
      </c>
      <c r="D302">
        <v>116391.93923118793</v>
      </c>
      <c r="E302">
        <v>195084.47991005529</v>
      </c>
      <c r="F302">
        <v>49505.848609157671</v>
      </c>
      <c r="G302">
        <v>10000</v>
      </c>
      <c r="H302">
        <v>481434.80455121159</v>
      </c>
      <c r="I302">
        <v>34.75161102995358</v>
      </c>
    </row>
    <row r="303" spans="1:9" x14ac:dyDescent="0.2">
      <c r="A303">
        <v>293</v>
      </c>
      <c r="B303">
        <v>1131508.0416163339</v>
      </c>
      <c r="C303">
        <v>114693.72852940246</v>
      </c>
      <c r="D303">
        <v>135918.00466431846</v>
      </c>
      <c r="E303">
        <v>33130.596371389154</v>
      </c>
      <c r="F303">
        <v>38293.656671865407</v>
      </c>
      <c r="G303">
        <v>10000</v>
      </c>
      <c r="H303">
        <v>312035.98623697553</v>
      </c>
      <c r="I303">
        <v>31.44180840514856</v>
      </c>
    </row>
    <row r="304" spans="1:9" x14ac:dyDescent="0.2">
      <c r="A304">
        <v>294</v>
      </c>
      <c r="B304">
        <v>1556800.1556876844</v>
      </c>
      <c r="C304">
        <v>129426.59512207746</v>
      </c>
      <c r="D304">
        <v>62448.693255729384</v>
      </c>
      <c r="E304">
        <v>197073.98890145821</v>
      </c>
      <c r="F304">
        <v>49643.583847024034</v>
      </c>
      <c r="G304">
        <v>10000</v>
      </c>
      <c r="H304">
        <v>428592.86112628906</v>
      </c>
      <c r="I304">
        <v>32.53127603666448</v>
      </c>
    </row>
    <row r="305" spans="1:9" x14ac:dyDescent="0.2">
      <c r="A305">
        <v>295</v>
      </c>
      <c r="B305">
        <v>1656245.6068405085</v>
      </c>
      <c r="C305">
        <v>149746.07094843447</v>
      </c>
      <c r="D305">
        <v>75347.181811822142</v>
      </c>
      <c r="E305">
        <v>191496.48776694832</v>
      </c>
      <c r="F305">
        <v>49257.449153096415</v>
      </c>
      <c r="G305">
        <v>10000</v>
      </c>
      <c r="H305">
        <v>455847.18968030135</v>
      </c>
      <c r="I305">
        <v>48.771967765483012</v>
      </c>
    </row>
    <row r="306" spans="1:9" x14ac:dyDescent="0.2">
      <c r="A306">
        <v>296</v>
      </c>
      <c r="B306">
        <v>1681911.3850000945</v>
      </c>
      <c r="C306">
        <v>116146.79059437795</v>
      </c>
      <c r="D306">
        <v>123698.18488115234</v>
      </c>
      <c r="E306">
        <v>184278.51365971254</v>
      </c>
      <c r="F306">
        <v>48757.743253364708</v>
      </c>
      <c r="G306">
        <v>10000</v>
      </c>
      <c r="H306">
        <v>462881.23238860752</v>
      </c>
      <c r="I306">
        <v>35.311960157581915</v>
      </c>
    </row>
    <row r="307" spans="1:9" x14ac:dyDescent="0.2">
      <c r="A307">
        <v>297</v>
      </c>
      <c r="B307">
        <v>1107044.7884710862</v>
      </c>
      <c r="C307">
        <v>75697.679146602488</v>
      </c>
      <c r="D307">
        <v>75448.102078585202</v>
      </c>
      <c r="E307">
        <v>119885.93456594419</v>
      </c>
      <c r="F307">
        <v>44299.79546994999</v>
      </c>
      <c r="G307">
        <v>10000</v>
      </c>
      <c r="H307">
        <v>305331.51126108191</v>
      </c>
      <c r="I307">
        <v>27.598244120498382</v>
      </c>
    </row>
    <row r="308" spans="1:9" x14ac:dyDescent="0.2">
      <c r="A308">
        <v>298</v>
      </c>
      <c r="B308">
        <v>1088749.803975204</v>
      </c>
      <c r="C308">
        <v>167343.00072959898</v>
      </c>
      <c r="D308">
        <v>54150.403716520588</v>
      </c>
      <c r="E308">
        <v>49403.859468446128</v>
      </c>
      <c r="F308">
        <v>39420.267193969346</v>
      </c>
      <c r="G308">
        <v>10000</v>
      </c>
      <c r="H308">
        <v>300317.53110853501</v>
      </c>
      <c r="I308">
        <v>36.903679276327395</v>
      </c>
    </row>
    <row r="309" spans="1:9" x14ac:dyDescent="0.2">
      <c r="A309">
        <v>299</v>
      </c>
      <c r="B309">
        <v>999436.08212740358</v>
      </c>
      <c r="C309">
        <v>72051.969855256335</v>
      </c>
      <c r="D309">
        <v>67479.421171462265</v>
      </c>
      <c r="E309">
        <v>103166.26479215905</v>
      </c>
      <c r="F309">
        <v>43142.279870226397</v>
      </c>
      <c r="G309">
        <v>10000</v>
      </c>
      <c r="H309">
        <v>275839.93568910402</v>
      </c>
      <c r="I309">
        <v>37.207013785812237</v>
      </c>
    </row>
    <row r="310" spans="1:9" x14ac:dyDescent="0.2">
      <c r="A310">
        <v>300</v>
      </c>
      <c r="B310">
        <v>1535372.7281801654</v>
      </c>
      <c r="C310">
        <v>90615.912261459132</v>
      </c>
      <c r="D310">
        <v>139433.67765383387</v>
      </c>
      <c r="E310">
        <v>155879.16922575395</v>
      </c>
      <c r="F310">
        <v>46791.634792552199</v>
      </c>
      <c r="G310">
        <v>10000</v>
      </c>
      <c r="H310">
        <v>422720.39393359917</v>
      </c>
      <c r="I310">
        <v>34.800022977451604</v>
      </c>
    </row>
    <row r="311" spans="1:9" x14ac:dyDescent="0.2">
      <c r="A311">
        <v>301</v>
      </c>
      <c r="B311">
        <v>1401002.5793416498</v>
      </c>
      <c r="C311">
        <v>113683.98402906593</v>
      </c>
      <c r="D311">
        <v>114015.77959949127</v>
      </c>
      <c r="E311">
        <v>123635.35979829122</v>
      </c>
      <c r="F311">
        <v>44559.37106295862</v>
      </c>
      <c r="G311">
        <v>10000</v>
      </c>
      <c r="H311">
        <v>385894.49448980705</v>
      </c>
      <c r="I311">
        <v>26.647262263558464</v>
      </c>
    </row>
    <row r="312" spans="1:9" x14ac:dyDescent="0.2">
      <c r="A312">
        <v>302</v>
      </c>
      <c r="B312">
        <v>1517878.4912202028</v>
      </c>
      <c r="C312">
        <v>143429.22309613516</v>
      </c>
      <c r="D312">
        <v>94945.898942809741</v>
      </c>
      <c r="E312">
        <v>143608.61238965718</v>
      </c>
      <c r="F312">
        <v>45942.134703899348</v>
      </c>
      <c r="G312">
        <v>10000</v>
      </c>
      <c r="H312">
        <v>417925.86913250142</v>
      </c>
      <c r="I312">
        <v>30.444068611097968</v>
      </c>
    </row>
    <row r="313" spans="1:9" x14ac:dyDescent="0.2">
      <c r="A313">
        <v>303</v>
      </c>
      <c r="B313">
        <v>1552164.038801624</v>
      </c>
      <c r="C313">
        <v>113602.41057248623</v>
      </c>
      <c r="D313">
        <v>99028.53784275685</v>
      </c>
      <c r="E313">
        <v>176473.90028281213</v>
      </c>
      <c r="F313">
        <v>48217.423865733152</v>
      </c>
      <c r="G313">
        <v>10000</v>
      </c>
      <c r="H313">
        <v>427322.27256378834</v>
      </c>
      <c r="I313">
        <v>34.895234252072576</v>
      </c>
    </row>
    <row r="314" spans="1:9" x14ac:dyDescent="0.2">
      <c r="A314">
        <v>304</v>
      </c>
      <c r="B314">
        <v>1585095.8983268824</v>
      </c>
      <c r="C314">
        <v>169014.60843325581</v>
      </c>
      <c r="D314">
        <v>130424.75245407864</v>
      </c>
      <c r="E314">
        <v>103727.20497313837</v>
      </c>
      <c r="F314">
        <v>43181.114190448046</v>
      </c>
      <c r="G314">
        <v>10000</v>
      </c>
      <c r="H314">
        <v>436347.68005092093</v>
      </c>
      <c r="I314">
        <v>40.215345810381692</v>
      </c>
    </row>
    <row r="315" spans="1:9" x14ac:dyDescent="0.2">
      <c r="A315">
        <v>305</v>
      </c>
      <c r="B315">
        <v>1443846.6638098881</v>
      </c>
      <c r="C315">
        <v>101263.14143481656</v>
      </c>
      <c r="D315">
        <v>137525.07286724233</v>
      </c>
      <c r="E315">
        <v>124246.57668546634</v>
      </c>
      <c r="F315">
        <v>44601.686078224593</v>
      </c>
      <c r="G315">
        <v>10000</v>
      </c>
      <c r="H315">
        <v>397636.47706574982</v>
      </c>
      <c r="I315">
        <v>32.736721788364562</v>
      </c>
    </row>
    <row r="316" spans="1:9" x14ac:dyDescent="0.2">
      <c r="A316">
        <v>306</v>
      </c>
      <c r="B316">
        <v>1073522.5009777818</v>
      </c>
      <c r="C316">
        <v>132549.09405522328</v>
      </c>
      <c r="D316">
        <v>77568.372835438553</v>
      </c>
      <c r="E316">
        <v>56140.193578265236</v>
      </c>
      <c r="F316">
        <v>39886.628786187597</v>
      </c>
      <c r="G316">
        <v>10000</v>
      </c>
      <c r="H316">
        <v>296144.28925511468</v>
      </c>
      <c r="I316">
        <v>36.534570680418454</v>
      </c>
    </row>
    <row r="317" spans="1:9" x14ac:dyDescent="0.2">
      <c r="A317">
        <v>307</v>
      </c>
      <c r="B317">
        <v>1294803.1065932335</v>
      </c>
      <c r="C317">
        <v>83181.920918027361</v>
      </c>
      <c r="D317">
        <v>68348.127796291839</v>
      </c>
      <c r="E317">
        <v>167652.38551751236</v>
      </c>
      <c r="F317">
        <v>47606.703612750855</v>
      </c>
      <c r="G317">
        <v>10000</v>
      </c>
      <c r="H317">
        <v>356789.13784458244</v>
      </c>
      <c r="I317">
        <v>34.546077585058576</v>
      </c>
    </row>
    <row r="318" spans="1:9" x14ac:dyDescent="0.2">
      <c r="A318">
        <v>308</v>
      </c>
      <c r="B318">
        <v>964677.93007533043</v>
      </c>
      <c r="C318">
        <v>102783.02251397568</v>
      </c>
      <c r="D318">
        <v>94292.305962552942</v>
      </c>
      <c r="E318">
        <v>40439.053551018311</v>
      </c>
      <c r="F318">
        <v>38799.626784301268</v>
      </c>
      <c r="G318">
        <v>10000</v>
      </c>
      <c r="H318">
        <v>266314.00881184818</v>
      </c>
      <c r="I318">
        <v>49.297535242449428</v>
      </c>
    </row>
    <row r="319" spans="1:9" x14ac:dyDescent="0.2">
      <c r="A319">
        <v>309</v>
      </c>
      <c r="B319">
        <v>1258322.277662321</v>
      </c>
      <c r="C319">
        <v>117424.30395064778</v>
      </c>
      <c r="D319">
        <v>105118.32534910833</v>
      </c>
      <c r="E319">
        <v>91887.048456105927</v>
      </c>
      <c r="F319">
        <v>42361.411046961184</v>
      </c>
      <c r="G319">
        <v>10000</v>
      </c>
      <c r="H319">
        <v>346791.08880282321</v>
      </c>
      <c r="I319">
        <v>29.068353616843577</v>
      </c>
    </row>
    <row r="320" spans="1:9" x14ac:dyDescent="0.2">
      <c r="A320">
        <v>310</v>
      </c>
      <c r="B320">
        <v>1288925.8223777127</v>
      </c>
      <c r="C320">
        <v>89527.124897496513</v>
      </c>
      <c r="D320">
        <v>51702.926122696757</v>
      </c>
      <c r="E320">
        <v>175779.02311214266</v>
      </c>
      <c r="F320">
        <v>48169.316984686797</v>
      </c>
      <c r="G320">
        <v>10000</v>
      </c>
      <c r="H320">
        <v>355178.39111702272</v>
      </c>
      <c r="I320">
        <v>31.07122535011009</v>
      </c>
    </row>
    <row r="321" spans="1:9" x14ac:dyDescent="0.2">
      <c r="A321">
        <v>311</v>
      </c>
      <c r="B321">
        <v>1239865.5310804159</v>
      </c>
      <c r="C321">
        <v>93291.625770494982</v>
      </c>
      <c r="D321">
        <v>35979.032575893951</v>
      </c>
      <c r="E321">
        <v>174389.03055454386</v>
      </c>
      <c r="F321">
        <v>48073.086730699186</v>
      </c>
      <c r="G321">
        <v>10000</v>
      </c>
      <c r="H321">
        <v>341732.77563163196</v>
      </c>
      <c r="I321">
        <v>33.231293449678788</v>
      </c>
    </row>
    <row r="322" spans="1:9" x14ac:dyDescent="0.2">
      <c r="A322">
        <v>312</v>
      </c>
      <c r="B322">
        <v>1582728.2448539366</v>
      </c>
      <c r="C322">
        <v>92848.484035703339</v>
      </c>
      <c r="D322">
        <v>115549.92792219846</v>
      </c>
      <c r="E322">
        <v>188266.54398374711</v>
      </c>
      <c r="F322">
        <v>49033.837660413257</v>
      </c>
      <c r="G322">
        <v>10000</v>
      </c>
      <c r="H322">
        <v>435698.79360206216</v>
      </c>
      <c r="I322">
        <v>35.162255401559207</v>
      </c>
    </row>
    <row r="323" spans="1:9" x14ac:dyDescent="0.2">
      <c r="A323">
        <v>313</v>
      </c>
      <c r="B323">
        <v>1501567.4715344659</v>
      </c>
      <c r="C323">
        <v>143773.84281108787</v>
      </c>
      <c r="D323">
        <v>69004.819681665089</v>
      </c>
      <c r="E323">
        <v>163366.93916658856</v>
      </c>
      <c r="F323">
        <v>47310.018865379207</v>
      </c>
      <c r="G323">
        <v>10000</v>
      </c>
      <c r="H323">
        <v>413455.6205247207</v>
      </c>
      <c r="I323">
        <v>34.570216820639217</v>
      </c>
    </row>
    <row r="324" spans="1:9" x14ac:dyDescent="0.2">
      <c r="A324">
        <v>314</v>
      </c>
      <c r="B324">
        <v>1450609.3301020474</v>
      </c>
      <c r="C324">
        <v>121486.59170592812</v>
      </c>
      <c r="D324">
        <v>114511.15960148058</v>
      </c>
      <c r="E324">
        <v>128589.75536291605</v>
      </c>
      <c r="F324">
        <v>44902.36767897111</v>
      </c>
      <c r="G324">
        <v>10000</v>
      </c>
      <c r="H324">
        <v>399489.87434929586</v>
      </c>
      <c r="I324">
        <v>43.921022292808395</v>
      </c>
    </row>
    <row r="325" spans="1:9" x14ac:dyDescent="0.2">
      <c r="A325">
        <v>315</v>
      </c>
      <c r="B325">
        <v>1194121.4396836378</v>
      </c>
      <c r="C325">
        <v>115964.88777600393</v>
      </c>
      <c r="D325">
        <v>95690.096818565187</v>
      </c>
      <c r="E325">
        <v>85613.906939992259</v>
      </c>
      <c r="F325">
        <v>41927.116634307153</v>
      </c>
      <c r="G325">
        <v>10000</v>
      </c>
      <c r="H325">
        <v>329196.00816886855</v>
      </c>
      <c r="I325">
        <v>49.260333071947137</v>
      </c>
    </row>
    <row r="326" spans="1:9" x14ac:dyDescent="0.2">
      <c r="A326">
        <v>316</v>
      </c>
      <c r="B326">
        <v>1299013.7934791446</v>
      </c>
      <c r="C326">
        <v>110978.15048460838</v>
      </c>
      <c r="D326">
        <v>49885.211716514044</v>
      </c>
      <c r="E326">
        <v>160002.6621611951</v>
      </c>
      <c r="F326">
        <v>47077.107380390429</v>
      </c>
      <c r="G326">
        <v>10000</v>
      </c>
      <c r="H326">
        <v>357943.13174270792</v>
      </c>
      <c r="I326">
        <v>32.631615301364235</v>
      </c>
    </row>
    <row r="327" spans="1:9" x14ac:dyDescent="0.2">
      <c r="A327">
        <v>317</v>
      </c>
      <c r="B327">
        <v>1122523.666657943</v>
      </c>
      <c r="C327">
        <v>125653.78429410527</v>
      </c>
      <c r="D327">
        <v>26758.696223130042</v>
      </c>
      <c r="E327">
        <v>122668.76697511291</v>
      </c>
      <c r="F327">
        <v>44492.453098277045</v>
      </c>
      <c r="G327">
        <v>10000</v>
      </c>
      <c r="H327">
        <v>309573.70059062523</v>
      </c>
      <c r="I327">
        <v>34.484207282776076</v>
      </c>
    </row>
    <row r="328" spans="1:9" x14ac:dyDescent="0.2">
      <c r="A328">
        <v>318</v>
      </c>
      <c r="B328">
        <v>1022165.3941843441</v>
      </c>
      <c r="C328">
        <v>90727.865411895735</v>
      </c>
      <c r="D328">
        <v>121376.76784088783</v>
      </c>
      <c r="E328">
        <v>41117.941429221988</v>
      </c>
      <c r="F328">
        <v>38846.626714330756</v>
      </c>
      <c r="G328">
        <v>10000</v>
      </c>
      <c r="H328">
        <v>282069.20139633631</v>
      </c>
      <c r="I328">
        <v>33.756128906815086</v>
      </c>
    </row>
    <row r="329" spans="1:9" x14ac:dyDescent="0.2">
      <c r="A329">
        <v>319</v>
      </c>
      <c r="B329">
        <v>1156307.3980536654</v>
      </c>
      <c r="C329">
        <v>85188.235161388366</v>
      </c>
      <c r="D329">
        <v>60605.361235493059</v>
      </c>
      <c r="E329">
        <v>137518.46893789244</v>
      </c>
      <c r="F329">
        <v>45520.509388007937</v>
      </c>
      <c r="G329">
        <v>10000</v>
      </c>
      <c r="H329">
        <v>318832.57472278178</v>
      </c>
      <c r="I329">
        <v>32.417804707912978</v>
      </c>
    </row>
    <row r="330" spans="1:9" x14ac:dyDescent="0.2">
      <c r="A330">
        <v>320</v>
      </c>
      <c r="B330">
        <v>1505602.0362498881</v>
      </c>
      <c r="C330">
        <v>169973.8213103989</v>
      </c>
      <c r="D330">
        <v>170237.33361001548</v>
      </c>
      <c r="E330">
        <v>45219.603013591535</v>
      </c>
      <c r="F330">
        <v>39130.587900940955</v>
      </c>
      <c r="G330">
        <v>10000</v>
      </c>
      <c r="H330">
        <v>414561.3458349469</v>
      </c>
      <c r="I330">
        <v>31.590883890915741</v>
      </c>
    </row>
    <row r="331" spans="1:9" x14ac:dyDescent="0.2">
      <c r="A331">
        <v>321</v>
      </c>
      <c r="B331">
        <v>1777639.0630311074</v>
      </c>
      <c r="C331">
        <v>111644.52266542432</v>
      </c>
      <c r="D331">
        <v>155724.38298548583</v>
      </c>
      <c r="E331">
        <v>183073.43606309211</v>
      </c>
      <c r="F331">
        <v>48674.314804367918</v>
      </c>
      <c r="G331">
        <v>10000</v>
      </c>
      <c r="H331">
        <v>489116.6565183702</v>
      </c>
      <c r="I331">
        <v>36.998016411853001</v>
      </c>
    </row>
    <row r="332" spans="1:9" x14ac:dyDescent="0.2">
      <c r="A332">
        <v>322</v>
      </c>
      <c r="B332">
        <v>1101429.7906214027</v>
      </c>
      <c r="C332">
        <v>128697.57236327477</v>
      </c>
      <c r="D332">
        <v>98321.534643346386</v>
      </c>
      <c r="E332">
        <v>47486.045110499217</v>
      </c>
      <c r="F332">
        <v>39287.495430726864</v>
      </c>
      <c r="G332">
        <v>10000</v>
      </c>
      <c r="H332">
        <v>303792.64754784718</v>
      </c>
      <c r="I332">
        <v>37.795484956251357</v>
      </c>
    </row>
    <row r="333" spans="1:9" x14ac:dyDescent="0.2">
      <c r="A333">
        <v>323</v>
      </c>
      <c r="B333">
        <v>1536131.8029868449</v>
      </c>
      <c r="C333">
        <v>125196.68555294034</v>
      </c>
      <c r="D333">
        <v>75003.07475164147</v>
      </c>
      <c r="E333">
        <v>183990.84059717652</v>
      </c>
      <c r="F333">
        <v>48737.82742595837</v>
      </c>
      <c r="G333">
        <v>10000</v>
      </c>
      <c r="H333">
        <v>422928.42832771665</v>
      </c>
      <c r="I333">
        <v>25.962890685631265</v>
      </c>
    </row>
    <row r="334" spans="1:9" x14ac:dyDescent="0.2">
      <c r="A334">
        <v>324</v>
      </c>
      <c r="B334">
        <v>960239.44891542022</v>
      </c>
      <c r="C334">
        <v>121262.69851413927</v>
      </c>
      <c r="D334">
        <v>86126.991025902505</v>
      </c>
      <c r="E334">
        <v>29654.866172395967</v>
      </c>
      <c r="F334">
        <v>38053.029196550495</v>
      </c>
      <c r="G334">
        <v>10000</v>
      </c>
      <c r="H334">
        <v>265097.58490898827</v>
      </c>
      <c r="I334">
        <v>27.711311057656303</v>
      </c>
    </row>
    <row r="335" spans="1:9" x14ac:dyDescent="0.2">
      <c r="A335">
        <v>325</v>
      </c>
      <c r="B335">
        <v>1168789.9273568562</v>
      </c>
      <c r="C335">
        <v>114798.40625352527</v>
      </c>
      <c r="D335">
        <v>94473.722177331787</v>
      </c>
      <c r="E335">
        <v>81349.554710635144</v>
      </c>
      <c r="F335">
        <v>41631.892249197816</v>
      </c>
      <c r="G335">
        <v>10000</v>
      </c>
      <c r="H335">
        <v>322253.57539069001</v>
      </c>
      <c r="I335">
        <v>39.267527844044622</v>
      </c>
    </row>
    <row r="336" spans="1:9" x14ac:dyDescent="0.2">
      <c r="A336">
        <v>326</v>
      </c>
      <c r="B336">
        <v>1125185.82404127</v>
      </c>
      <c r="C336">
        <v>110495.53112527286</v>
      </c>
      <c r="D336">
        <v>53794.221454985047</v>
      </c>
      <c r="E336">
        <v>112242.88578975442</v>
      </c>
      <c r="F336">
        <v>43770.661323906075</v>
      </c>
      <c r="G336">
        <v>10000</v>
      </c>
      <c r="H336">
        <v>310303.29969391838</v>
      </c>
      <c r="I336">
        <v>33.674929067072135</v>
      </c>
    </row>
    <row r="337" spans="1:9" x14ac:dyDescent="0.2">
      <c r="A337">
        <v>327</v>
      </c>
      <c r="B337">
        <v>1260711.2325812331</v>
      </c>
      <c r="C337">
        <v>117809.99052559564</v>
      </c>
      <c r="D337">
        <v>54247.709432505893</v>
      </c>
      <c r="E337">
        <v>139715.50158564458</v>
      </c>
      <c r="F337">
        <v>45672.611648236925</v>
      </c>
      <c r="G337">
        <v>10000</v>
      </c>
      <c r="H337">
        <v>347445.81319198303</v>
      </c>
      <c r="I337">
        <v>35.942570499101237</v>
      </c>
    </row>
    <row r="338" spans="1:9" x14ac:dyDescent="0.2">
      <c r="A338">
        <v>328</v>
      </c>
      <c r="B338">
        <v>1801685.4672785129</v>
      </c>
      <c r="C338">
        <v>138989.89590368862</v>
      </c>
      <c r="D338">
        <v>139857.80161949401</v>
      </c>
      <c r="E338">
        <v>178501.40172033056</v>
      </c>
      <c r="F338">
        <v>48357.789349869039</v>
      </c>
      <c r="G338">
        <v>10000</v>
      </c>
      <c r="H338">
        <v>495706.8885933822</v>
      </c>
      <c r="I338">
        <v>48.84293225099379</v>
      </c>
    </row>
    <row r="339" spans="1:9" x14ac:dyDescent="0.2">
      <c r="A339">
        <v>329</v>
      </c>
      <c r="B339">
        <v>1430014.011350357</v>
      </c>
      <c r="C339">
        <v>92081.240271565708</v>
      </c>
      <c r="D339">
        <v>158268.65664042343</v>
      </c>
      <c r="E339">
        <v>109887.93432658238</v>
      </c>
      <c r="F339">
        <v>43607.62622260955</v>
      </c>
      <c r="G339">
        <v>10000</v>
      </c>
      <c r="H339">
        <v>393845.4574611811</v>
      </c>
      <c r="I339">
        <v>26.994854651271442</v>
      </c>
    </row>
    <row r="340" spans="1:9" x14ac:dyDescent="0.2">
      <c r="A340">
        <v>330</v>
      </c>
      <c r="B340">
        <v>1209379.1121427075</v>
      </c>
      <c r="C340">
        <v>121312.15504501079</v>
      </c>
      <c r="D340">
        <v>87741.24413588435</v>
      </c>
      <c r="E340">
        <v>91957.860566352567</v>
      </c>
      <c r="F340">
        <v>42366.313423824409</v>
      </c>
      <c r="G340">
        <v>10000</v>
      </c>
      <c r="H340">
        <v>333377.57317107206</v>
      </c>
      <c r="I340">
        <v>28.344378125977023</v>
      </c>
    </row>
    <row r="341" spans="1:9" x14ac:dyDescent="0.2">
      <c r="A341">
        <v>331</v>
      </c>
      <c r="B341">
        <v>1477772.1457714699</v>
      </c>
      <c r="C341">
        <v>160921.43292148443</v>
      </c>
      <c r="D341">
        <v>80969.451730003173</v>
      </c>
      <c r="E341">
        <v>130040.51056803811</v>
      </c>
      <c r="F341">
        <v>45002.804577787254</v>
      </c>
      <c r="G341">
        <v>10000</v>
      </c>
      <c r="H341">
        <v>406934.19979731296</v>
      </c>
      <c r="I341">
        <v>47.573061305673541</v>
      </c>
    </row>
    <row r="342" spans="1:9" x14ac:dyDescent="0.2">
      <c r="A342">
        <v>332</v>
      </c>
      <c r="B342">
        <v>980573.46704264323</v>
      </c>
      <c r="C342">
        <v>113786.5778566978</v>
      </c>
      <c r="D342">
        <v>63822.91256294206</v>
      </c>
      <c r="E342">
        <v>62718.825952528772</v>
      </c>
      <c r="F342">
        <v>40342.072565944298</v>
      </c>
      <c r="G342">
        <v>10000</v>
      </c>
      <c r="H342">
        <v>270670.38893811294</v>
      </c>
      <c r="I342">
        <v>34.316692873416429</v>
      </c>
    </row>
    <row r="343" spans="1:9" x14ac:dyDescent="0.2">
      <c r="A343">
        <v>333</v>
      </c>
      <c r="B343">
        <v>932731.59393173771</v>
      </c>
      <c r="C343">
        <v>82670.454636992799</v>
      </c>
      <c r="D343">
        <v>40441.291581114601</v>
      </c>
      <c r="E343">
        <v>101425.20568972907</v>
      </c>
      <c r="F343">
        <v>43021.745009288934</v>
      </c>
      <c r="G343">
        <v>10000</v>
      </c>
      <c r="H343">
        <v>257558.69691712543</v>
      </c>
      <c r="I343">
        <v>35.644093789567158</v>
      </c>
    </row>
    <row r="344" spans="1:9" x14ac:dyDescent="0.2">
      <c r="A344">
        <v>334</v>
      </c>
      <c r="B344">
        <v>1503009.4396992624</v>
      </c>
      <c r="C344">
        <v>154486.89962479213</v>
      </c>
      <c r="D344">
        <v>70882.703792648783</v>
      </c>
      <c r="E344">
        <v>151960.84142668816</v>
      </c>
      <c r="F344">
        <v>46520.365944924568</v>
      </c>
      <c r="G344">
        <v>10000</v>
      </c>
      <c r="H344">
        <v>413850.81078905362</v>
      </c>
      <c r="I344">
        <v>39.201481977030923</v>
      </c>
    </row>
    <row r="345" spans="1:9" x14ac:dyDescent="0.2">
      <c r="A345">
        <v>335</v>
      </c>
      <c r="B345">
        <v>1372056.8558587804</v>
      </c>
      <c r="C345">
        <v>76052.758464219718</v>
      </c>
      <c r="D345">
        <v>94862.878671799961</v>
      </c>
      <c r="E345">
        <v>169323.50608924541</v>
      </c>
      <c r="F345">
        <v>47722.396575409293</v>
      </c>
      <c r="G345">
        <v>10000</v>
      </c>
      <c r="H345">
        <v>377961.53980067436</v>
      </c>
      <c r="I345">
        <v>36.872778971880024</v>
      </c>
    </row>
    <row r="346" spans="1:9" x14ac:dyDescent="0.2">
      <c r="A346">
        <v>336</v>
      </c>
      <c r="B346">
        <v>1020655.3829153159</v>
      </c>
      <c r="C346">
        <v>131975.53171389567</v>
      </c>
      <c r="D346">
        <v>68099.096549017777</v>
      </c>
      <c r="E346">
        <v>51981.982154371122</v>
      </c>
      <c r="F346">
        <v>39598.752610687232</v>
      </c>
      <c r="G346">
        <v>10000</v>
      </c>
      <c r="H346">
        <v>281655.36302797182</v>
      </c>
      <c r="I346">
        <v>35.557069162417569</v>
      </c>
    </row>
    <row r="347" spans="1:9" x14ac:dyDescent="0.2">
      <c r="A347">
        <v>337</v>
      </c>
      <c r="B347">
        <v>1657530.2131031009</v>
      </c>
      <c r="C347">
        <v>146486.67543302031</v>
      </c>
      <c r="D347">
        <v>86665.393395662235</v>
      </c>
      <c r="E347">
        <v>184288.73326109271</v>
      </c>
      <c r="F347">
        <v>48758.450764229492</v>
      </c>
      <c r="G347">
        <v>10000</v>
      </c>
      <c r="H347">
        <v>456199.25285400474</v>
      </c>
      <c r="I347">
        <v>34.98093318223151</v>
      </c>
    </row>
    <row r="348" spans="1:9" x14ac:dyDescent="0.2">
      <c r="A348">
        <v>338</v>
      </c>
      <c r="B348">
        <v>1439911.727625126</v>
      </c>
      <c r="C348">
        <v>143938.30268702167</v>
      </c>
      <c r="D348">
        <v>107341.08287790579</v>
      </c>
      <c r="E348">
        <v>111555.59129700252</v>
      </c>
      <c r="F348">
        <v>43723.079397484791</v>
      </c>
      <c r="G348">
        <v>10000</v>
      </c>
      <c r="H348">
        <v>396558.05625941476</v>
      </c>
      <c r="I348">
        <v>37.661447757701723</v>
      </c>
    </row>
    <row r="349" spans="1:9" x14ac:dyDescent="0.2">
      <c r="A349">
        <v>339</v>
      </c>
      <c r="B349">
        <v>1540300.8684351093</v>
      </c>
      <c r="C349">
        <v>113453.2152698103</v>
      </c>
      <c r="D349">
        <v>159773.46034853291</v>
      </c>
      <c r="E349">
        <v>116760.8932514318</v>
      </c>
      <c r="F349">
        <v>44083.446455868361</v>
      </c>
      <c r="G349">
        <v>10000</v>
      </c>
      <c r="H349">
        <v>424071.01532564341</v>
      </c>
      <c r="I349">
        <v>40.303337360800256</v>
      </c>
    </row>
    <row r="350" spans="1:9" x14ac:dyDescent="0.2">
      <c r="A350">
        <v>340</v>
      </c>
      <c r="B350">
        <v>1446862.3045792365</v>
      </c>
      <c r="C350">
        <v>161545.73149363263</v>
      </c>
      <c r="D350">
        <v>70661.750755448404</v>
      </c>
      <c r="E350">
        <v>131174.18120429546</v>
      </c>
      <c r="F350">
        <v>45081.289467989685</v>
      </c>
      <c r="G350">
        <v>10000</v>
      </c>
      <c r="H350">
        <v>398462.9529213662</v>
      </c>
      <c r="I350">
        <v>44.266305767063116</v>
      </c>
    </row>
    <row r="351" spans="1:9" x14ac:dyDescent="0.2">
      <c r="A351">
        <v>341</v>
      </c>
      <c r="B351">
        <v>1842308.7654108482</v>
      </c>
      <c r="C351">
        <v>138278.22678238011</v>
      </c>
      <c r="D351">
        <v>154909.30348140449</v>
      </c>
      <c r="E351">
        <v>175502.53015487612</v>
      </c>
      <c r="F351">
        <v>48150.175164568354</v>
      </c>
      <c r="G351">
        <v>10000</v>
      </c>
      <c r="H351">
        <v>506840.23558322905</v>
      </c>
      <c r="I351">
        <v>33.175111471681703</v>
      </c>
    </row>
    <row r="352" spans="1:9" x14ac:dyDescent="0.2">
      <c r="A352">
        <v>342</v>
      </c>
      <c r="B352">
        <v>1484617.1727183345</v>
      </c>
      <c r="C352">
        <v>122600.86139515754</v>
      </c>
      <c r="D352">
        <v>99271.208390701562</v>
      </c>
      <c r="E352">
        <v>150517.64683789582</v>
      </c>
      <c r="F352">
        <v>46420.452473392783</v>
      </c>
      <c r="G352">
        <v>10000</v>
      </c>
      <c r="H352">
        <v>408810.16909714771</v>
      </c>
      <c r="I352">
        <v>34.081950662867385</v>
      </c>
    </row>
    <row r="353" spans="1:9" x14ac:dyDescent="0.2">
      <c r="A353">
        <v>343</v>
      </c>
      <c r="B353">
        <v>1382939.9965805674</v>
      </c>
      <c r="C353">
        <v>128667.10169769287</v>
      </c>
      <c r="D353">
        <v>65711.918184730574</v>
      </c>
      <c r="E353">
        <v>150168.88011001842</v>
      </c>
      <c r="F353">
        <v>46396.307084539731</v>
      </c>
      <c r="G353">
        <v>10000</v>
      </c>
      <c r="H353">
        <v>380944.20707698161</v>
      </c>
      <c r="I353">
        <v>34.508146047468323</v>
      </c>
    </row>
    <row r="354" spans="1:9" x14ac:dyDescent="0.2">
      <c r="A354">
        <v>344</v>
      </c>
      <c r="B354">
        <v>1478176.4721134398</v>
      </c>
      <c r="C354">
        <v>122702.91134489968</v>
      </c>
      <c r="D354">
        <v>104045.31609201325</v>
      </c>
      <c r="E354">
        <v>144306.34408492839</v>
      </c>
      <c r="F354">
        <v>45990.439205879658</v>
      </c>
      <c r="G354">
        <v>10000</v>
      </c>
      <c r="H354">
        <v>407045.01072772098</v>
      </c>
      <c r="I354">
        <v>35.17433992429828</v>
      </c>
    </row>
    <row r="355" spans="1:9" x14ac:dyDescent="0.2">
      <c r="A355">
        <v>345</v>
      </c>
      <c r="B355">
        <v>1602234.860304255</v>
      </c>
      <c r="C355">
        <v>104206.39443912798</v>
      </c>
      <c r="D355">
        <v>89201.828091324758</v>
      </c>
      <c r="E355">
        <v>207286.0423930609</v>
      </c>
      <c r="F355">
        <v>50350.572165673446</v>
      </c>
      <c r="G355">
        <v>10000</v>
      </c>
      <c r="H355">
        <v>441044.83708918706</v>
      </c>
      <c r="I355">
        <v>25.26826332065221</v>
      </c>
    </row>
    <row r="356" spans="1:9" x14ac:dyDescent="0.2">
      <c r="A356">
        <v>346</v>
      </c>
      <c r="B356">
        <v>1504022.4415460955</v>
      </c>
      <c r="C356">
        <v>93603.127956420372</v>
      </c>
      <c r="D356">
        <v>142211.73088958507</v>
      </c>
      <c r="E356">
        <v>142451.54811469166</v>
      </c>
      <c r="F356">
        <v>45862.030254094032</v>
      </c>
      <c r="G356">
        <v>10000</v>
      </c>
      <c r="H356">
        <v>414128.43721479119</v>
      </c>
      <c r="I356">
        <v>33.255881199376489</v>
      </c>
    </row>
    <row r="357" spans="1:9" x14ac:dyDescent="0.2">
      <c r="A357">
        <v>347</v>
      </c>
      <c r="B357">
        <v>1069810.9897404378</v>
      </c>
      <c r="C357">
        <v>122502.28221639377</v>
      </c>
      <c r="D357">
        <v>46319.89819405468</v>
      </c>
      <c r="E357">
        <v>93810.357369385136</v>
      </c>
      <c r="F357">
        <v>42494.56320249589</v>
      </c>
      <c r="G357">
        <v>10000</v>
      </c>
      <c r="H357">
        <v>295127.10098232946</v>
      </c>
      <c r="I357">
        <v>36.047937378732719</v>
      </c>
    </row>
    <row r="358" spans="1:9" x14ac:dyDescent="0.2">
      <c r="A358">
        <v>348</v>
      </c>
      <c r="B358">
        <v>1265873.9424749843</v>
      </c>
      <c r="C358">
        <v>86122.750049297756</v>
      </c>
      <c r="D358">
        <v>87447.338331883802</v>
      </c>
      <c r="E358">
        <v>139624.33310113373</v>
      </c>
      <c r="F358">
        <v>45666.29998392464</v>
      </c>
      <c r="G358">
        <v>10000</v>
      </c>
      <c r="H358">
        <v>348860.72146623995</v>
      </c>
      <c r="I358">
        <v>37.525825462344869</v>
      </c>
    </row>
    <row r="359" spans="1:9" x14ac:dyDescent="0.2">
      <c r="A359">
        <v>349</v>
      </c>
      <c r="B359">
        <v>1330870.2637911744</v>
      </c>
      <c r="C359">
        <v>106654.29493006213</v>
      </c>
      <c r="D359">
        <v>51702.845984648033</v>
      </c>
      <c r="E359">
        <v>170511.99709260568</v>
      </c>
      <c r="F359">
        <v>47804.676721795775</v>
      </c>
      <c r="G359">
        <v>10000</v>
      </c>
      <c r="H359">
        <v>366673.81472911156</v>
      </c>
      <c r="I359">
        <v>45.657516526801963</v>
      </c>
    </row>
    <row r="360" spans="1:9" x14ac:dyDescent="0.2">
      <c r="A360">
        <v>350</v>
      </c>
      <c r="B360">
        <v>1023377.8495583052</v>
      </c>
      <c r="C360">
        <v>95810.884846382469</v>
      </c>
      <c r="D360">
        <v>76195.289214323391</v>
      </c>
      <c r="E360">
        <v>78930.871652612972</v>
      </c>
      <c r="F360">
        <v>41464.444960565517</v>
      </c>
      <c r="G360">
        <v>10000</v>
      </c>
      <c r="H360">
        <v>282401.4906738844</v>
      </c>
      <c r="I360">
        <v>47.377462454204974</v>
      </c>
    </row>
    <row r="361" spans="1:9" x14ac:dyDescent="0.2">
      <c r="A361">
        <v>351</v>
      </c>
      <c r="B361">
        <v>1083390.1187670636</v>
      </c>
      <c r="C361">
        <v>103294.7696752083</v>
      </c>
      <c r="D361">
        <v>72338.395822672959</v>
      </c>
      <c r="E361">
        <v>90920.946599010931</v>
      </c>
      <c r="F361">
        <v>42294.527072239216</v>
      </c>
      <c r="G361">
        <v>10000</v>
      </c>
      <c r="H361">
        <v>298848.63916913141</v>
      </c>
      <c r="I361">
        <v>25.384113107881433</v>
      </c>
    </row>
    <row r="362" spans="1:9" x14ac:dyDescent="0.2">
      <c r="A362">
        <v>352</v>
      </c>
      <c r="B362">
        <v>1500042.2357496668</v>
      </c>
      <c r="C362">
        <v>113072.3917612267</v>
      </c>
      <c r="D362">
        <v>116698.85020215936</v>
      </c>
      <c r="E362">
        <v>147083.65325862626</v>
      </c>
      <c r="F362">
        <v>46182.714456366433</v>
      </c>
      <c r="G362">
        <v>10000</v>
      </c>
      <c r="H362">
        <v>413037.60967837874</v>
      </c>
      <c r="I362">
        <v>43.517917774784507</v>
      </c>
    </row>
    <row r="363" spans="1:9" x14ac:dyDescent="0.2">
      <c r="A363">
        <v>353</v>
      </c>
      <c r="B363">
        <v>1355546.6785359411</v>
      </c>
      <c r="C363">
        <v>97962.39423954465</v>
      </c>
      <c r="D363">
        <v>68892.691950158885</v>
      </c>
      <c r="E363">
        <v>168889.28792596556</v>
      </c>
      <c r="F363">
        <v>47692.33531795146</v>
      </c>
      <c r="G363">
        <v>10000</v>
      </c>
      <c r="H363">
        <v>373436.70943362056</v>
      </c>
      <c r="I363">
        <v>39.218196175936733</v>
      </c>
    </row>
    <row r="364" spans="1:9" x14ac:dyDescent="0.2">
      <c r="A364">
        <v>354</v>
      </c>
      <c r="B364">
        <v>1142691.2003803272</v>
      </c>
      <c r="C364">
        <v>108945.06207818155</v>
      </c>
      <c r="D364">
        <v>110382.64972225245</v>
      </c>
      <c r="E364">
        <v>65255.478606865676</v>
      </c>
      <c r="F364">
        <v>40517.686980475315</v>
      </c>
      <c r="G364">
        <v>10000</v>
      </c>
      <c r="H364">
        <v>315100.87738777499</v>
      </c>
      <c r="I364">
        <v>47.959835052929215</v>
      </c>
    </row>
    <row r="365" spans="1:9" x14ac:dyDescent="0.2">
      <c r="A365">
        <v>355</v>
      </c>
      <c r="B365">
        <v>1446569.0640580459</v>
      </c>
      <c r="C365">
        <v>128652.971097482</v>
      </c>
      <c r="D365">
        <v>77254.036926588436</v>
      </c>
      <c r="E365">
        <v>155696.5842004203</v>
      </c>
      <c r="F365">
        <v>46778.994290798328</v>
      </c>
      <c r="G365">
        <v>10000</v>
      </c>
      <c r="H365">
        <v>398382.58651528903</v>
      </c>
      <c r="I365">
        <v>54.103677739444947</v>
      </c>
    </row>
    <row r="366" spans="1:9" x14ac:dyDescent="0.2">
      <c r="A366">
        <v>356</v>
      </c>
      <c r="B366">
        <v>1450129.0017094654</v>
      </c>
      <c r="C366">
        <v>102875.80284423802</v>
      </c>
      <c r="D366">
        <v>102213.08655223693</v>
      </c>
      <c r="E366">
        <v>157374.20724052502</v>
      </c>
      <c r="F366">
        <v>46895.137424344044</v>
      </c>
      <c r="G366">
        <v>10000</v>
      </c>
      <c r="H366">
        <v>399358.234061344</v>
      </c>
      <c r="I366">
        <v>36.771222523241512</v>
      </c>
    </row>
    <row r="367" spans="1:9" x14ac:dyDescent="0.2">
      <c r="A367">
        <v>357</v>
      </c>
      <c r="B367">
        <v>1535242.9378523454</v>
      </c>
      <c r="C367">
        <v>79288.442547710001</v>
      </c>
      <c r="D367">
        <v>121297.08733791926</v>
      </c>
      <c r="E367">
        <v>183402.21676331604</v>
      </c>
      <c r="F367">
        <v>48697.076545152646</v>
      </c>
      <c r="G367">
        <v>10000</v>
      </c>
      <c r="H367">
        <v>422684.8231940979</v>
      </c>
      <c r="I367">
        <v>38.253375881402995</v>
      </c>
    </row>
    <row r="368" spans="1:9" x14ac:dyDescent="0.2">
      <c r="A368">
        <v>358</v>
      </c>
      <c r="B368">
        <v>1715715.3701658831</v>
      </c>
      <c r="C368">
        <v>145366.45375125483</v>
      </c>
      <c r="D368">
        <v>104737.65206496336</v>
      </c>
      <c r="E368">
        <v>183348.21364762989</v>
      </c>
      <c r="F368">
        <v>48693.337867912836</v>
      </c>
      <c r="G368">
        <v>10000</v>
      </c>
      <c r="H368">
        <v>472145.65733176091</v>
      </c>
      <c r="I368">
        <v>36.068695035954732</v>
      </c>
    </row>
    <row r="369" spans="1:9" x14ac:dyDescent="0.2">
      <c r="A369">
        <v>359</v>
      </c>
      <c r="B369">
        <v>929234.21488808503</v>
      </c>
      <c r="C369">
        <v>121013.24777380245</v>
      </c>
      <c r="D369">
        <v>65474.750049481998</v>
      </c>
      <c r="E369">
        <v>41256.011165348085</v>
      </c>
      <c r="F369">
        <v>38856.18538837025</v>
      </c>
      <c r="G369">
        <v>10000</v>
      </c>
      <c r="H369">
        <v>256600.19437700277</v>
      </c>
      <c r="I369">
        <v>27.496614569616483</v>
      </c>
    </row>
    <row r="370" spans="1:9" x14ac:dyDescent="0.2">
      <c r="A370">
        <v>360</v>
      </c>
      <c r="B370">
        <v>1556576.5289312091</v>
      </c>
      <c r="C370">
        <v>102919.59207735608</v>
      </c>
      <c r="D370">
        <v>78114.260834218163</v>
      </c>
      <c r="E370">
        <v>207156.14135580862</v>
      </c>
      <c r="F370">
        <v>50341.579016940595</v>
      </c>
      <c r="G370">
        <v>10000</v>
      </c>
      <c r="H370">
        <v>428531.5732843235</v>
      </c>
      <c r="I370">
        <v>29.113070429207774</v>
      </c>
    </row>
    <row r="371" spans="1:9" x14ac:dyDescent="0.2">
      <c r="A371">
        <v>361</v>
      </c>
      <c r="B371">
        <v>938935.78241960681</v>
      </c>
      <c r="C371">
        <v>92479.439633049784</v>
      </c>
      <c r="D371">
        <v>74034.265849031406</v>
      </c>
      <c r="E371">
        <v>62423.690452413415</v>
      </c>
      <c r="F371">
        <v>40321.640108244006</v>
      </c>
      <c r="G371">
        <v>10000</v>
      </c>
      <c r="H371">
        <v>259259.03604273865</v>
      </c>
      <c r="I371">
        <v>32.282107874140081</v>
      </c>
    </row>
    <row r="372" spans="1:9" x14ac:dyDescent="0.2">
      <c r="A372">
        <v>362</v>
      </c>
      <c r="B372">
        <v>879153.09752729139</v>
      </c>
      <c r="C372">
        <v>96883.338783444371</v>
      </c>
      <c r="D372">
        <v>90643.791862423328</v>
      </c>
      <c r="E372">
        <v>27447.468156992745</v>
      </c>
      <c r="F372">
        <v>37900.209333945648</v>
      </c>
      <c r="G372">
        <v>10000</v>
      </c>
      <c r="H372">
        <v>242874.8081368061</v>
      </c>
      <c r="I372">
        <v>26.962839207411413</v>
      </c>
    </row>
    <row r="373" spans="1:9" x14ac:dyDescent="0.2">
      <c r="A373">
        <v>363</v>
      </c>
      <c r="B373">
        <v>1184328.107739782</v>
      </c>
      <c r="C373">
        <v>108581.48562770867</v>
      </c>
      <c r="D373">
        <v>53887.922667504783</v>
      </c>
      <c r="E373">
        <v>129104.59831602199</v>
      </c>
      <c r="F373">
        <v>44938.010652647674</v>
      </c>
      <c r="G373">
        <v>10000</v>
      </c>
      <c r="H373">
        <v>326512.01726388314</v>
      </c>
      <c r="I373">
        <v>33.721423629942997</v>
      </c>
    </row>
    <row r="374" spans="1:9" x14ac:dyDescent="0.2">
      <c r="A374">
        <v>364</v>
      </c>
      <c r="B374">
        <v>1133587.7608961067</v>
      </c>
      <c r="C374">
        <v>130431.17025505482</v>
      </c>
      <c r="D374">
        <v>52476.625026138099</v>
      </c>
      <c r="E374">
        <v>96983.895573702524</v>
      </c>
      <c r="F374">
        <v>42714.26969356402</v>
      </c>
      <c r="G374">
        <v>10000</v>
      </c>
      <c r="H374">
        <v>312605.96054845949</v>
      </c>
      <c r="I374">
        <v>50.081103745536879</v>
      </c>
    </row>
    <row r="375" spans="1:9" x14ac:dyDescent="0.2">
      <c r="A375">
        <v>365</v>
      </c>
      <c r="B375">
        <v>1054269.3587842127</v>
      </c>
      <c r="C375">
        <v>144378.9424707565</v>
      </c>
      <c r="D375">
        <v>78097.178355249038</v>
      </c>
      <c r="E375">
        <v>39646.813230801032</v>
      </c>
      <c r="F375">
        <v>38744.779377516992</v>
      </c>
      <c r="G375">
        <v>10000</v>
      </c>
      <c r="H375">
        <v>290867.71343432355</v>
      </c>
      <c r="I375">
        <v>39.792874248829563</v>
      </c>
    </row>
    <row r="376" spans="1:9" x14ac:dyDescent="0.2">
      <c r="A376">
        <v>366</v>
      </c>
      <c r="B376">
        <v>1133846.5044162665</v>
      </c>
      <c r="C376">
        <v>109465.92989672424</v>
      </c>
      <c r="D376">
        <v>85530.942036229448</v>
      </c>
      <c r="E376">
        <v>85743.885515491536</v>
      </c>
      <c r="F376">
        <v>41936.115151072496</v>
      </c>
      <c r="G376">
        <v>10000</v>
      </c>
      <c r="H376">
        <v>312676.87259951769</v>
      </c>
      <c r="I376">
        <v>48.065874625426979</v>
      </c>
    </row>
    <row r="377" spans="1:9" x14ac:dyDescent="0.2">
      <c r="A377">
        <v>367</v>
      </c>
      <c r="B377">
        <v>1217125.9883425296</v>
      </c>
      <c r="C377">
        <v>133667.2722913828</v>
      </c>
      <c r="D377">
        <v>46386.259923190839</v>
      </c>
      <c r="E377">
        <v>121065.70216907025</v>
      </c>
      <c r="F377">
        <v>44381.471688627935</v>
      </c>
      <c r="G377">
        <v>10000</v>
      </c>
      <c r="H377">
        <v>335500.7060722718</v>
      </c>
      <c r="I377">
        <v>45.965527624869061</v>
      </c>
    </row>
    <row r="378" spans="1:9" x14ac:dyDescent="0.2">
      <c r="A378">
        <v>368</v>
      </c>
      <c r="B378">
        <v>1117233.7338490039</v>
      </c>
      <c r="C378">
        <v>124371.74843140034</v>
      </c>
      <c r="D378">
        <v>74466.658389133678</v>
      </c>
      <c r="E378">
        <v>77892.930867780553</v>
      </c>
      <c r="F378">
        <v>41392.587521615576</v>
      </c>
      <c r="G378">
        <v>10000</v>
      </c>
      <c r="H378">
        <v>308123.92520993017</v>
      </c>
      <c r="I378">
        <v>36.449838675068911</v>
      </c>
    </row>
    <row r="379" spans="1:9" x14ac:dyDescent="0.2">
      <c r="A379">
        <v>369</v>
      </c>
      <c r="B379">
        <v>1043371.5427831418</v>
      </c>
      <c r="C379">
        <v>83433.064089010615</v>
      </c>
      <c r="D379">
        <v>61648.506891438097</v>
      </c>
      <c r="E379">
        <v>109236.89869968152</v>
      </c>
      <c r="F379">
        <v>43562.554525362568</v>
      </c>
      <c r="G379">
        <v>10000</v>
      </c>
      <c r="H379">
        <v>287881.02420549281</v>
      </c>
      <c r="I379">
        <v>34.524331376238351</v>
      </c>
    </row>
    <row r="380" spans="1:9" x14ac:dyDescent="0.2">
      <c r="A380">
        <v>370</v>
      </c>
      <c r="B380">
        <v>734726.35632234218</v>
      </c>
      <c r="C380">
        <v>100874.39526403658</v>
      </c>
      <c r="D380">
        <v>26396.087497571771</v>
      </c>
      <c r="E380">
        <v>46783.432069648967</v>
      </c>
      <c r="F380">
        <v>39238.852989437233</v>
      </c>
      <c r="G380">
        <v>10000</v>
      </c>
      <c r="H380">
        <v>203292.76782069454</v>
      </c>
      <c r="I380">
        <v>26.229072862006166</v>
      </c>
    </row>
    <row r="381" spans="1:9" x14ac:dyDescent="0.2">
      <c r="A381">
        <v>371</v>
      </c>
      <c r="B381">
        <v>1526030.3214618582</v>
      </c>
      <c r="C381">
        <v>129273.32217662138</v>
      </c>
      <c r="D381">
        <v>123998.86185389888</v>
      </c>
      <c r="E381">
        <v>131765.5692459328</v>
      </c>
      <c r="F381">
        <v>45122.231717026116</v>
      </c>
      <c r="G381">
        <v>10000</v>
      </c>
      <c r="H381">
        <v>420159.98499347916</v>
      </c>
      <c r="I381">
        <v>45.454198307741777</v>
      </c>
    </row>
    <row r="382" spans="1:9" x14ac:dyDescent="0.2">
      <c r="A382">
        <v>372</v>
      </c>
      <c r="B382">
        <v>1366333.9076503685</v>
      </c>
      <c r="C382">
        <v>101570.46868348955</v>
      </c>
      <c r="D382">
        <v>50995.855636583299</v>
      </c>
      <c r="E382">
        <v>185017.83922642327</v>
      </c>
      <c r="F382">
        <v>48808.927331060077</v>
      </c>
      <c r="G382">
        <v>10000</v>
      </c>
      <c r="H382">
        <v>376393.09087755618</v>
      </c>
      <c r="I382">
        <v>41.73869516183386</v>
      </c>
    </row>
    <row r="383" spans="1:9" x14ac:dyDescent="0.2">
      <c r="A383">
        <v>373</v>
      </c>
      <c r="B383">
        <v>1520180.2179922797</v>
      </c>
      <c r="C383">
        <v>113447.42485798485</v>
      </c>
      <c r="D383">
        <v>60206.727039471458</v>
      </c>
      <c r="E383">
        <v>204728.99013691969</v>
      </c>
      <c r="F383">
        <v>50173.545471017518</v>
      </c>
      <c r="G383">
        <v>10000</v>
      </c>
      <c r="H383">
        <v>418556.68750539358</v>
      </c>
      <c r="I383">
        <v>39.448466278748469</v>
      </c>
    </row>
    <row r="384" spans="1:9" x14ac:dyDescent="0.2">
      <c r="A384">
        <v>374</v>
      </c>
      <c r="B384">
        <v>1437632.2626339444</v>
      </c>
      <c r="C384">
        <v>132310.98773750628</v>
      </c>
      <c r="D384">
        <v>61823.691716383379</v>
      </c>
      <c r="E384">
        <v>164416.01254308727</v>
      </c>
      <c r="F384">
        <v>47382.647022213736</v>
      </c>
      <c r="G384">
        <v>10000</v>
      </c>
      <c r="H384">
        <v>395933.33901919069</v>
      </c>
      <c r="I384">
        <v>28.348280904285822</v>
      </c>
    </row>
    <row r="385" spans="1:9" x14ac:dyDescent="0.2">
      <c r="A385">
        <v>375</v>
      </c>
      <c r="B385">
        <v>1589489.3799591807</v>
      </c>
      <c r="C385">
        <v>117686.13191511783</v>
      </c>
      <c r="D385">
        <v>107762.11193581192</v>
      </c>
      <c r="E385">
        <v>174053.6587127345</v>
      </c>
      <c r="F385">
        <v>48049.868680112384</v>
      </c>
      <c r="G385">
        <v>10000</v>
      </c>
      <c r="H385">
        <v>437551.77124377666</v>
      </c>
      <c r="I385">
        <v>34.762431810259699</v>
      </c>
    </row>
    <row r="386" spans="1:9" x14ac:dyDescent="0.2">
      <c r="A386">
        <v>376</v>
      </c>
      <c r="B386">
        <v>1037040.4187395152</v>
      </c>
      <c r="C386">
        <v>137237.69442364847</v>
      </c>
      <c r="D386">
        <v>86798.681756270787</v>
      </c>
      <c r="E386">
        <v>33771.4940378272</v>
      </c>
      <c r="F386">
        <v>38338.026510311116</v>
      </c>
      <c r="G386">
        <v>10000</v>
      </c>
      <c r="H386">
        <v>286145.89672805759</v>
      </c>
      <c r="I386">
        <v>30.490829497383174</v>
      </c>
    </row>
    <row r="387" spans="1:9" x14ac:dyDescent="0.2">
      <c r="A387">
        <v>377</v>
      </c>
      <c r="B387">
        <v>1517571.1486771917</v>
      </c>
      <c r="C387">
        <v>107340.195630605</v>
      </c>
      <c r="D387">
        <v>121970.73028555684</v>
      </c>
      <c r="E387">
        <v>152007.14068805231</v>
      </c>
      <c r="F387">
        <v>46523.571278403622</v>
      </c>
      <c r="G387">
        <v>10000</v>
      </c>
      <c r="H387">
        <v>417841.63788261777</v>
      </c>
      <c r="I387">
        <v>36.657638141624197</v>
      </c>
    </row>
    <row r="388" spans="1:9" x14ac:dyDescent="0.2">
      <c r="A388">
        <v>378</v>
      </c>
      <c r="B388">
        <v>1461708.4195863265</v>
      </c>
      <c r="C388">
        <v>153047.54336268036</v>
      </c>
      <c r="D388">
        <v>75364.847166186053</v>
      </c>
      <c r="E388">
        <v>138528.87416477496</v>
      </c>
      <c r="F388">
        <v>45590.460519099805</v>
      </c>
      <c r="G388">
        <v>10000</v>
      </c>
      <c r="H388">
        <v>402531.72521274112</v>
      </c>
      <c r="I388">
        <v>42.943910914158387</v>
      </c>
    </row>
    <row r="389" spans="1:9" x14ac:dyDescent="0.2">
      <c r="A389">
        <v>379</v>
      </c>
      <c r="B389">
        <v>1459621.619320709</v>
      </c>
      <c r="C389">
        <v>96363.410159056453</v>
      </c>
      <c r="D389">
        <v>62580.664105544056</v>
      </c>
      <c r="E389">
        <v>202964.35740981938</v>
      </c>
      <c r="F389">
        <v>50051.378589910571</v>
      </c>
      <c r="G389">
        <v>10000</v>
      </c>
      <c r="H389">
        <v>401959.81026433047</v>
      </c>
      <c r="I389">
        <v>37.349362796645543</v>
      </c>
    </row>
    <row r="390" spans="1:9" x14ac:dyDescent="0.2">
      <c r="A390">
        <v>380</v>
      </c>
      <c r="B390">
        <v>1505801.9859984519</v>
      </c>
      <c r="C390">
        <v>131715.54688642977</v>
      </c>
      <c r="D390">
        <v>76759.128421556539</v>
      </c>
      <c r="E390">
        <v>168477.63322818896</v>
      </c>
      <c r="F390">
        <v>47663.836146566922</v>
      </c>
      <c r="G390">
        <v>10000</v>
      </c>
      <c r="H390">
        <v>414616.14468274219</v>
      </c>
      <c r="I390">
        <v>32.162554608908451</v>
      </c>
    </row>
    <row r="391" spans="1:9" x14ac:dyDescent="0.2">
      <c r="A391">
        <v>381</v>
      </c>
      <c r="B391">
        <v>1216631.0104183138</v>
      </c>
      <c r="C391">
        <v>142895.39495001221</v>
      </c>
      <c r="D391">
        <v>104787.21746755448</v>
      </c>
      <c r="E391">
        <v>57688.611519369573</v>
      </c>
      <c r="F391">
        <v>39993.826951340969</v>
      </c>
      <c r="G391">
        <v>10000</v>
      </c>
      <c r="H391">
        <v>335365.05088827724</v>
      </c>
      <c r="I391">
        <v>30.001079259690925</v>
      </c>
    </row>
    <row r="392" spans="1:9" x14ac:dyDescent="0.2">
      <c r="A392">
        <v>382</v>
      </c>
      <c r="B392">
        <v>1511342.0451129277</v>
      </c>
      <c r="C392">
        <v>125547.18260137035</v>
      </c>
      <c r="D392">
        <v>111601.48826595109</v>
      </c>
      <c r="E392">
        <v>143080.24421770877</v>
      </c>
      <c r="F392">
        <v>45905.5553689183</v>
      </c>
      <c r="G392">
        <v>10000</v>
      </c>
      <c r="H392">
        <v>416134.47045394848</v>
      </c>
      <c r="I392">
        <v>28.162968521969383</v>
      </c>
    </row>
    <row r="393" spans="1:9" x14ac:dyDescent="0.2">
      <c r="A393">
        <v>383</v>
      </c>
      <c r="B393">
        <v>1059540.3425800735</v>
      </c>
      <c r="C393">
        <v>112109.24421418403</v>
      </c>
      <c r="D393">
        <v>82742.214569528893</v>
      </c>
      <c r="E393">
        <v>66833.876149545802</v>
      </c>
      <c r="F393">
        <v>40626.960656507021</v>
      </c>
      <c r="G393">
        <v>10000</v>
      </c>
      <c r="H393">
        <v>292312.29558976577</v>
      </c>
      <c r="I393">
        <v>33.012918563020776</v>
      </c>
    </row>
    <row r="394" spans="1:9" x14ac:dyDescent="0.2">
      <c r="A394">
        <v>384</v>
      </c>
      <c r="B394">
        <v>1213356.5735432263</v>
      </c>
      <c r="C394">
        <v>143634.84103566024</v>
      </c>
      <c r="D394">
        <v>125956.636717193</v>
      </c>
      <c r="E394">
        <v>36359.008677753402</v>
      </c>
      <c r="F394">
        <v>38517.162139229084</v>
      </c>
      <c r="G394">
        <v>10000</v>
      </c>
      <c r="H394">
        <v>334467.6485698357</v>
      </c>
      <c r="I394">
        <v>31.599641135006166</v>
      </c>
    </row>
    <row r="395" spans="1:9" x14ac:dyDescent="0.2">
      <c r="A395">
        <v>385</v>
      </c>
      <c r="B395">
        <v>847367.03026860952</v>
      </c>
      <c r="C395">
        <v>86306.424529579381</v>
      </c>
      <c r="D395">
        <v>49118.70859281173</v>
      </c>
      <c r="E395">
        <v>68028.613654039887</v>
      </c>
      <c r="F395">
        <v>40709.673252971988</v>
      </c>
      <c r="G395">
        <v>10000</v>
      </c>
      <c r="H395">
        <v>234163.420029403</v>
      </c>
      <c r="I395">
        <v>34.75073486545687</v>
      </c>
    </row>
    <row r="396" spans="1:9" x14ac:dyDescent="0.2">
      <c r="A396">
        <v>386</v>
      </c>
      <c r="B396">
        <v>1292360.1453319453</v>
      </c>
      <c r="C396">
        <v>93406.19510830575</v>
      </c>
      <c r="D396">
        <v>129728.38830326898</v>
      </c>
      <c r="E396">
        <v>100057.94069622803</v>
      </c>
      <c r="F396">
        <v>42927.088202046558</v>
      </c>
      <c r="G396">
        <v>10000</v>
      </c>
      <c r="H396">
        <v>356119.61230984936</v>
      </c>
      <c r="I396">
        <v>42.601280013168548</v>
      </c>
    </row>
    <row r="397" spans="1:9" x14ac:dyDescent="0.2">
      <c r="A397">
        <v>387</v>
      </c>
      <c r="B397">
        <v>1839351.8451065335</v>
      </c>
      <c r="C397">
        <v>140848.74558150664</v>
      </c>
      <c r="D397">
        <v>140128.15947332943</v>
      </c>
      <c r="E397">
        <v>186164.62742520915</v>
      </c>
      <c r="F397">
        <v>48888.320360206781</v>
      </c>
      <c r="G397">
        <v>10000</v>
      </c>
      <c r="H397">
        <v>506029.85284025199</v>
      </c>
      <c r="I397">
        <v>42.444936650141898</v>
      </c>
    </row>
    <row r="398" spans="1:9" x14ac:dyDescent="0.2">
      <c r="A398">
        <v>388</v>
      </c>
      <c r="B398">
        <v>1489375.8076192958</v>
      </c>
      <c r="C398">
        <v>119645.31158739711</v>
      </c>
      <c r="D398">
        <v>59789.198704183371</v>
      </c>
      <c r="E398">
        <v>191427.17449311999</v>
      </c>
      <c r="F398">
        <v>49252.650541831383</v>
      </c>
      <c r="G398">
        <v>10000</v>
      </c>
      <c r="H398">
        <v>410114.3353265319</v>
      </c>
      <c r="I398">
        <v>35.120007259961575</v>
      </c>
    </row>
    <row r="399" spans="1:9" x14ac:dyDescent="0.2">
      <c r="A399">
        <v>389</v>
      </c>
      <c r="B399">
        <v>1301072.1254816246</v>
      </c>
      <c r="C399">
        <v>142305.24042373608</v>
      </c>
      <c r="D399">
        <v>130299.37420427654</v>
      </c>
      <c r="E399">
        <v>56024.042411138442</v>
      </c>
      <c r="F399">
        <v>39878.587551540353</v>
      </c>
      <c r="G399">
        <v>10000</v>
      </c>
      <c r="H399">
        <v>358507.24459069141</v>
      </c>
      <c r="I399">
        <v>36.322636214549433</v>
      </c>
    </row>
    <row r="400" spans="1:9" x14ac:dyDescent="0.2">
      <c r="A400">
        <v>390</v>
      </c>
      <c r="B400">
        <v>1497870.8000206212</v>
      </c>
      <c r="C400">
        <v>93986.295140330665</v>
      </c>
      <c r="D400">
        <v>165499.81126344562</v>
      </c>
      <c r="E400">
        <v>118736.19476935716</v>
      </c>
      <c r="F400">
        <v>44220.198099417037</v>
      </c>
      <c r="G400">
        <v>10000</v>
      </c>
      <c r="H400">
        <v>412442.49927255046</v>
      </c>
      <c r="I400">
        <v>32.326375290289576</v>
      </c>
    </row>
    <row r="401" spans="1:9" x14ac:dyDescent="0.2">
      <c r="A401">
        <v>391</v>
      </c>
      <c r="B401">
        <v>1391539.2001171513</v>
      </c>
      <c r="C401">
        <v>90841.105642678202</v>
      </c>
      <c r="D401">
        <v>61102.289048752027</v>
      </c>
      <c r="E401">
        <v>192061.00560126931</v>
      </c>
      <c r="F401">
        <v>49296.531157010948</v>
      </c>
      <c r="G401">
        <v>10000</v>
      </c>
      <c r="H401">
        <v>383300.93144971051</v>
      </c>
      <c r="I401">
        <v>27.784400750637289</v>
      </c>
    </row>
    <row r="402" spans="1:9" x14ac:dyDescent="0.2">
      <c r="A402">
        <v>392</v>
      </c>
      <c r="B402">
        <v>1644310.9604220754</v>
      </c>
      <c r="C402">
        <v>104135.67849778448</v>
      </c>
      <c r="D402">
        <v>119746.99433235501</v>
      </c>
      <c r="E402">
        <v>189569.62004518934</v>
      </c>
      <c r="F402">
        <v>49124.050618513109</v>
      </c>
      <c r="G402">
        <v>10000</v>
      </c>
      <c r="H402">
        <v>452576.34349384194</v>
      </c>
      <c r="I402">
        <v>25.636204453435234</v>
      </c>
    </row>
    <row r="403" spans="1:9" x14ac:dyDescent="0.2">
      <c r="A403">
        <v>393</v>
      </c>
      <c r="B403">
        <v>1350196.3679755209</v>
      </c>
      <c r="C403">
        <v>129792.53438964716</v>
      </c>
      <c r="D403">
        <v>108606.82676017577</v>
      </c>
      <c r="E403">
        <v>100605.99515555684</v>
      </c>
      <c r="F403">
        <v>42965.030433846245</v>
      </c>
      <c r="G403">
        <v>10000</v>
      </c>
      <c r="H403">
        <v>371970.386739226</v>
      </c>
      <c r="I403">
        <v>46.34376560024532</v>
      </c>
    </row>
    <row r="404" spans="1:9" x14ac:dyDescent="0.2">
      <c r="A404">
        <v>394</v>
      </c>
      <c r="B404">
        <v>998008.52030264807</v>
      </c>
      <c r="C404">
        <v>92803.447121984122</v>
      </c>
      <c r="D404">
        <v>81149.278255530196</v>
      </c>
      <c r="E404">
        <v>70607.740130572216</v>
      </c>
      <c r="F404">
        <v>40888.228162885767</v>
      </c>
      <c r="G404">
        <v>10000</v>
      </c>
      <c r="H404">
        <v>275448.69367097231</v>
      </c>
      <c r="I404">
        <v>35.113107361569185</v>
      </c>
    </row>
    <row r="405" spans="1:9" x14ac:dyDescent="0.2">
      <c r="A405">
        <v>395</v>
      </c>
      <c r="B405">
        <v>1109593.2585155871</v>
      </c>
      <c r="C405">
        <v>102162.286392097</v>
      </c>
      <c r="D405">
        <v>50875.526988326747</v>
      </c>
      <c r="E405">
        <v>118769.62685135129</v>
      </c>
      <c r="F405">
        <v>44222.512628170472</v>
      </c>
      <c r="G405">
        <v>10000</v>
      </c>
      <c r="H405">
        <v>306029.95285994554</v>
      </c>
      <c r="I405">
        <v>30.353795117916178</v>
      </c>
    </row>
    <row r="406" spans="1:9" x14ac:dyDescent="0.2">
      <c r="A406">
        <v>396</v>
      </c>
      <c r="B406">
        <v>1520985.48467584</v>
      </c>
      <c r="C406">
        <v>151014.13503787911</v>
      </c>
      <c r="D406">
        <v>30805.083118021168</v>
      </c>
      <c r="E406">
        <v>197299.00158440034</v>
      </c>
      <c r="F406">
        <v>49659.161648150788</v>
      </c>
      <c r="G406">
        <v>10000</v>
      </c>
      <c r="H406">
        <v>418777.38138845138</v>
      </c>
      <c r="I406">
        <v>35.8153518586589</v>
      </c>
    </row>
    <row r="407" spans="1:9" x14ac:dyDescent="0.2">
      <c r="A407">
        <v>397</v>
      </c>
      <c r="B407">
        <v>1345178.8418255681</v>
      </c>
      <c r="C407">
        <v>138796.23803719578</v>
      </c>
      <c r="D407">
        <v>116409.38623381351</v>
      </c>
      <c r="E407">
        <v>83601.825043869554</v>
      </c>
      <c r="F407">
        <v>41787.818656883275</v>
      </c>
      <c r="G407">
        <v>10000</v>
      </c>
      <c r="H407">
        <v>370595.26797176211</v>
      </c>
      <c r="I407">
        <v>40.201532322196414</v>
      </c>
    </row>
    <row r="408" spans="1:9" x14ac:dyDescent="0.2">
      <c r="A408">
        <v>398</v>
      </c>
      <c r="B408">
        <v>1175867.900880645</v>
      </c>
      <c r="C408">
        <v>86359.052515253308</v>
      </c>
      <c r="D408">
        <v>110021.86725284546</v>
      </c>
      <c r="E408">
        <v>95220.292862049799</v>
      </c>
      <c r="F408">
        <v>42592.174121218828</v>
      </c>
      <c r="G408">
        <v>10000</v>
      </c>
      <c r="H408">
        <v>324193.38675136742</v>
      </c>
      <c r="I408">
        <v>29.417032799449693</v>
      </c>
    </row>
    <row r="409" spans="1:9" x14ac:dyDescent="0.2">
      <c r="A409">
        <v>399</v>
      </c>
      <c r="B409">
        <v>1521159.7290901351</v>
      </c>
      <c r="C409">
        <v>108490.16354588864</v>
      </c>
      <c r="D409">
        <v>145412.63452086193</v>
      </c>
      <c r="E409">
        <v>129927.36580697354</v>
      </c>
      <c r="F409">
        <v>44994.971478944324</v>
      </c>
      <c r="G409">
        <v>10000</v>
      </c>
      <c r="H409">
        <v>418825.13535266847</v>
      </c>
      <c r="I409">
        <v>37.502376003549657</v>
      </c>
    </row>
    <row r="410" spans="1:9" x14ac:dyDescent="0.2">
      <c r="A410">
        <v>400</v>
      </c>
      <c r="B410">
        <v>1607961.1831839629</v>
      </c>
      <c r="C410">
        <v>122500.26777367595</v>
      </c>
      <c r="D410">
        <v>157444.0242916111</v>
      </c>
      <c r="E410">
        <v>127820.78738551118</v>
      </c>
      <c r="F410">
        <v>44849.131434381539</v>
      </c>
      <c r="G410">
        <v>10000</v>
      </c>
      <c r="H410">
        <v>442614.21088517975</v>
      </c>
      <c r="I410">
        <v>28.885356688646279</v>
      </c>
    </row>
    <row r="411" spans="1:9" x14ac:dyDescent="0.2">
      <c r="A411">
        <v>401</v>
      </c>
      <c r="B411">
        <v>1218862.2763704774</v>
      </c>
      <c r="C411">
        <v>89654.485377853547</v>
      </c>
      <c r="D411">
        <v>142079.51497278491</v>
      </c>
      <c r="E411">
        <v>73176.493280431852</v>
      </c>
      <c r="F411">
        <v>41066.064919414515</v>
      </c>
      <c r="G411">
        <v>10000</v>
      </c>
      <c r="H411">
        <v>335976.55855048483</v>
      </c>
      <c r="I411">
        <v>32.79664689997098</v>
      </c>
    </row>
    <row r="412" spans="1:9" x14ac:dyDescent="0.2">
      <c r="A412">
        <v>402</v>
      </c>
      <c r="B412">
        <v>1162398.0029692892</v>
      </c>
      <c r="C412">
        <v>161579.89358908797</v>
      </c>
      <c r="D412">
        <v>51391.999184271408</v>
      </c>
      <c r="E412">
        <v>76250.978138097693</v>
      </c>
      <c r="F412">
        <v>41278.913871099074</v>
      </c>
      <c r="G412">
        <v>10000</v>
      </c>
      <c r="H412">
        <v>320501.78478255612</v>
      </c>
      <c r="I412">
        <v>38.162417703717466</v>
      </c>
    </row>
    <row r="413" spans="1:9" x14ac:dyDescent="0.2">
      <c r="A413">
        <v>403</v>
      </c>
      <c r="B413">
        <v>1247992.8975511596</v>
      </c>
      <c r="C413">
        <v>98237.354114084461</v>
      </c>
      <c r="D413">
        <v>138861.32699421712</v>
      </c>
      <c r="E413">
        <v>75625.868703353204</v>
      </c>
      <c r="F413">
        <v>41235.637064078299</v>
      </c>
      <c r="G413">
        <v>10000</v>
      </c>
      <c r="H413">
        <v>343960.18687573308</v>
      </c>
      <c r="I413">
        <v>43.23179197544097</v>
      </c>
    </row>
    <row r="414" spans="1:9" x14ac:dyDescent="0.2">
      <c r="A414">
        <v>404</v>
      </c>
      <c r="B414">
        <v>1147873.8453416629</v>
      </c>
      <c r="C414">
        <v>93578.538977544638</v>
      </c>
      <c r="D414">
        <v>107904.37918919456</v>
      </c>
      <c r="E414">
        <v>83273.259172812628</v>
      </c>
      <c r="F414">
        <v>41765.071788887028</v>
      </c>
      <c r="G414">
        <v>10000</v>
      </c>
      <c r="H414">
        <v>316521.24912843888</v>
      </c>
      <c r="I414">
        <v>42.958009142858913</v>
      </c>
    </row>
    <row r="415" spans="1:9" x14ac:dyDescent="0.2">
      <c r="A415">
        <v>405</v>
      </c>
      <c r="B415">
        <v>1100137.3538036866</v>
      </c>
      <c r="C415">
        <v>110418.28395336666</v>
      </c>
      <c r="D415">
        <v>87070.572736957562</v>
      </c>
      <c r="E415">
        <v>74772.990002084087</v>
      </c>
      <c r="F415">
        <v>41176.591615528894</v>
      </c>
      <c r="G415">
        <v>10000</v>
      </c>
      <c r="H415">
        <v>303438.43830793723</v>
      </c>
      <c r="I415">
        <v>36.968023699060296</v>
      </c>
    </row>
    <row r="416" spans="1:9" x14ac:dyDescent="0.2">
      <c r="A416">
        <v>406</v>
      </c>
      <c r="B416">
        <v>830206.62882771192</v>
      </c>
      <c r="C416">
        <v>87536.185044847662</v>
      </c>
      <c r="D416">
        <v>34128.222211218505</v>
      </c>
      <c r="E416">
        <v>76499.837381312784</v>
      </c>
      <c r="F416">
        <v>41296.142587937036</v>
      </c>
      <c r="G416">
        <v>10000</v>
      </c>
      <c r="H416">
        <v>229460.38722531599</v>
      </c>
      <c r="I416">
        <v>32.872429228868896</v>
      </c>
    </row>
    <row r="417" spans="1:9" x14ac:dyDescent="0.2">
      <c r="A417">
        <v>407</v>
      </c>
      <c r="B417">
        <v>1243364.976937549</v>
      </c>
      <c r="C417">
        <v>127142.90698111046</v>
      </c>
      <c r="D417">
        <v>70612.578102894127</v>
      </c>
      <c r="E417">
        <v>111235.44416012641</v>
      </c>
      <c r="F417">
        <v>43700.915364931825</v>
      </c>
      <c r="G417">
        <v>10000</v>
      </c>
      <c r="H417">
        <v>342691.84460906277</v>
      </c>
      <c r="I417">
        <v>48.523020714296266</v>
      </c>
    </row>
    <row r="418" spans="1:9" x14ac:dyDescent="0.2">
      <c r="A418">
        <v>408</v>
      </c>
      <c r="B418">
        <v>890884.66056490806</v>
      </c>
      <c r="C418">
        <v>103770.7248056924</v>
      </c>
      <c r="D418">
        <v>50877.776681524825</v>
      </c>
      <c r="E418">
        <v>61204.276063216952</v>
      </c>
      <c r="F418">
        <v>40237.219112068866</v>
      </c>
      <c r="G418">
        <v>10000</v>
      </c>
      <c r="H418">
        <v>246089.99666250305</v>
      </c>
      <c r="I418">
        <v>47.936648793524924</v>
      </c>
    </row>
    <row r="419" spans="1:9" x14ac:dyDescent="0.2">
      <c r="A419">
        <v>409</v>
      </c>
      <c r="B419">
        <v>1696521.3185476987</v>
      </c>
      <c r="C419">
        <v>99498.646187848804</v>
      </c>
      <c r="D419">
        <v>120484.85596560479</v>
      </c>
      <c r="E419">
        <v>206598.7813488268</v>
      </c>
      <c r="F419">
        <v>50302.992554918776</v>
      </c>
      <c r="G419">
        <v>10000</v>
      </c>
      <c r="H419">
        <v>466885.27605719911</v>
      </c>
      <c r="I419">
        <v>33.128578669261685</v>
      </c>
    </row>
    <row r="420" spans="1:9" x14ac:dyDescent="0.2">
      <c r="A420">
        <v>410</v>
      </c>
      <c r="B420">
        <v>1049753.3397679981</v>
      </c>
      <c r="C420">
        <v>125271.52660506385</v>
      </c>
      <c r="D420">
        <v>65043.117796788014</v>
      </c>
      <c r="E420">
        <v>68568.354909151109</v>
      </c>
      <c r="F420">
        <v>40747.039955248918</v>
      </c>
      <c r="G420">
        <v>10000</v>
      </c>
      <c r="H420">
        <v>289630.0392662519</v>
      </c>
      <c r="I420">
        <v>38.825787606059038</v>
      </c>
    </row>
    <row r="421" spans="1:9" x14ac:dyDescent="0.2">
      <c r="A421">
        <v>411</v>
      </c>
      <c r="B421">
        <v>1362453.8511202843</v>
      </c>
      <c r="C421">
        <v>124533.3992865297</v>
      </c>
      <c r="D421">
        <v>145385.30905232168</v>
      </c>
      <c r="E421">
        <v>74269.282652377675</v>
      </c>
      <c r="F421">
        <v>41141.719568241533</v>
      </c>
      <c r="G421">
        <v>10000</v>
      </c>
      <c r="H421">
        <v>375329.71055947058</v>
      </c>
      <c r="I421">
        <v>25.61542474382005</v>
      </c>
    </row>
    <row r="422" spans="1:9" x14ac:dyDescent="0.2">
      <c r="A422">
        <v>412</v>
      </c>
      <c r="B422">
        <v>1392531.04532975</v>
      </c>
      <c r="C422">
        <v>124987.29299424196</v>
      </c>
      <c r="D422">
        <v>129712.33667782648</v>
      </c>
      <c r="E422">
        <v>96212.27980994228</v>
      </c>
      <c r="F422">
        <v>42660.850140688315</v>
      </c>
      <c r="G422">
        <v>10000</v>
      </c>
      <c r="H422">
        <v>383572.759622699</v>
      </c>
      <c r="I422">
        <v>43.794133164528688</v>
      </c>
    </row>
    <row r="423" spans="1:9" x14ac:dyDescent="0.2">
      <c r="A423">
        <v>413</v>
      </c>
      <c r="B423">
        <v>1558474.7598669876</v>
      </c>
      <c r="C423">
        <v>99075.950225755369</v>
      </c>
      <c r="D423">
        <v>101461.03682024892</v>
      </c>
      <c r="E423">
        <v>189402.35084841022</v>
      </c>
      <c r="F423">
        <v>49112.470443351478</v>
      </c>
      <c r="G423">
        <v>10000</v>
      </c>
      <c r="H423">
        <v>429051.80833776598</v>
      </c>
      <c r="I423">
        <v>38.331956879490633</v>
      </c>
    </row>
    <row r="424" spans="1:9" x14ac:dyDescent="0.2">
      <c r="A424">
        <v>414</v>
      </c>
      <c r="B424">
        <v>1324543.4594986055</v>
      </c>
      <c r="C424">
        <v>101218.05147644371</v>
      </c>
      <c r="D424">
        <v>55101.811217588926</v>
      </c>
      <c r="E424">
        <v>170795.69134863943</v>
      </c>
      <c r="F424">
        <v>47824.317093367346</v>
      </c>
      <c r="G424">
        <v>10000</v>
      </c>
      <c r="H424">
        <v>364939.87113603938</v>
      </c>
      <c r="I424">
        <v>47.834982792614277</v>
      </c>
    </row>
    <row r="425" spans="1:9" x14ac:dyDescent="0.2">
      <c r="A425">
        <v>415</v>
      </c>
      <c r="B425">
        <v>1219823.8184133759</v>
      </c>
      <c r="C425">
        <v>119322.61559065249</v>
      </c>
      <c r="D425">
        <v>40786.55449801487</v>
      </c>
      <c r="E425">
        <v>140410.20514421523</v>
      </c>
      <c r="F425">
        <v>45720.706509984135</v>
      </c>
      <c r="G425">
        <v>10000</v>
      </c>
      <c r="H425">
        <v>336240.08174286672</v>
      </c>
      <c r="I425">
        <v>26.661968331213778</v>
      </c>
    </row>
    <row r="426" spans="1:9" x14ac:dyDescent="0.2">
      <c r="A426">
        <v>416</v>
      </c>
      <c r="B426">
        <v>1554195.0934433774</v>
      </c>
      <c r="C426">
        <v>82423.822551805046</v>
      </c>
      <c r="D426">
        <v>135782.4446894672</v>
      </c>
      <c r="E426">
        <v>171780.16920015955</v>
      </c>
      <c r="F426">
        <v>47892.473252318734</v>
      </c>
      <c r="G426">
        <v>10000</v>
      </c>
      <c r="H426">
        <v>427878.90969375055</v>
      </c>
      <c r="I426">
        <v>29.268168059129273</v>
      </c>
    </row>
    <row r="427" spans="1:9" x14ac:dyDescent="0.2">
      <c r="A427">
        <v>417</v>
      </c>
      <c r="B427">
        <v>1224507.7240764645</v>
      </c>
      <c r="C427">
        <v>102419.13057525257</v>
      </c>
      <c r="D427">
        <v>123911.51829707903</v>
      </c>
      <c r="E427">
        <v>79677.017370786867</v>
      </c>
      <c r="F427">
        <v>41516.101202592938</v>
      </c>
      <c r="G427">
        <v>10000</v>
      </c>
      <c r="H427">
        <v>337523.76744571142</v>
      </c>
      <c r="I427">
        <v>29.003328607703409</v>
      </c>
    </row>
    <row r="428" spans="1:9" x14ac:dyDescent="0.2">
      <c r="A428">
        <v>418</v>
      </c>
      <c r="B428">
        <v>952525.13671105693</v>
      </c>
      <c r="C428">
        <v>84540.283448461734</v>
      </c>
      <c r="D428">
        <v>108940.06039043739</v>
      </c>
      <c r="E428">
        <v>40686.289630167994</v>
      </c>
      <c r="F428">
        <v>38816.7431282424</v>
      </c>
      <c r="G428">
        <v>10000</v>
      </c>
      <c r="H428">
        <v>262983.37659730949</v>
      </c>
      <c r="I428">
        <v>38.052951130276099</v>
      </c>
    </row>
    <row r="429" spans="1:9" x14ac:dyDescent="0.2">
      <c r="A429">
        <v>419</v>
      </c>
      <c r="B429">
        <v>994783.42386902147</v>
      </c>
      <c r="C429">
        <v>94475.632706578035</v>
      </c>
      <c r="D429">
        <v>115507.88152671976</v>
      </c>
      <c r="E429">
        <v>36083.229760865157</v>
      </c>
      <c r="F429">
        <v>38498.069752675277</v>
      </c>
      <c r="G429">
        <v>10000</v>
      </c>
      <c r="H429">
        <v>274564.81374683825</v>
      </c>
      <c r="I429">
        <v>34.406764891543915</v>
      </c>
    </row>
    <row r="430" spans="1:9" x14ac:dyDescent="0.2">
      <c r="A430">
        <v>420</v>
      </c>
      <c r="B430">
        <v>1130524.7769970382</v>
      </c>
      <c r="C430">
        <v>103826.4846448147</v>
      </c>
      <c r="D430">
        <v>121442.59210525961</v>
      </c>
      <c r="E430">
        <v>56580.332963510278</v>
      </c>
      <c r="F430">
        <v>39917.099974396864</v>
      </c>
      <c r="G430">
        <v>10000</v>
      </c>
      <c r="H430">
        <v>311766.50968798145</v>
      </c>
      <c r="I430">
        <v>41.019494094013254</v>
      </c>
    </row>
    <row r="431" spans="1:9" x14ac:dyDescent="0.2">
      <c r="A431">
        <v>421</v>
      </c>
      <c r="B431">
        <v>764154.07255597692</v>
      </c>
      <c r="C431">
        <v>99221.585257565152</v>
      </c>
      <c r="D431">
        <v>48643.433343877899</v>
      </c>
      <c r="E431">
        <v>35065.208946868632</v>
      </c>
      <c r="F431">
        <v>38427.591388629364</v>
      </c>
      <c r="G431">
        <v>10000</v>
      </c>
      <c r="H431">
        <v>211357.81893694104</v>
      </c>
      <c r="I431">
        <v>27.193795283825558</v>
      </c>
    </row>
    <row r="432" spans="1:9" x14ac:dyDescent="0.2">
      <c r="A432">
        <v>422</v>
      </c>
      <c r="B432">
        <v>1355597.9607666321</v>
      </c>
      <c r="C432">
        <v>124871.82687815304</v>
      </c>
      <c r="D432">
        <v>89075.887762552549</v>
      </c>
      <c r="E432">
        <v>124858.96702733543</v>
      </c>
      <c r="F432">
        <v>44644.082332661681</v>
      </c>
      <c r="G432">
        <v>10000</v>
      </c>
      <c r="H432">
        <v>373450.76400070271</v>
      </c>
      <c r="I432">
        <v>43.052742188240735</v>
      </c>
    </row>
    <row r="433" spans="1:9" x14ac:dyDescent="0.2">
      <c r="A433">
        <v>423</v>
      </c>
      <c r="B433">
        <v>1398025.4541905737</v>
      </c>
      <c r="C433">
        <v>118767.89982965148</v>
      </c>
      <c r="D433">
        <v>44883.180278790001</v>
      </c>
      <c r="E433">
        <v>182773.9154720169</v>
      </c>
      <c r="F433">
        <v>48653.578763447324</v>
      </c>
      <c r="G433">
        <v>10000</v>
      </c>
      <c r="H433">
        <v>385078.57434390567</v>
      </c>
      <c r="I433">
        <v>28.212614046905585</v>
      </c>
    </row>
    <row r="434" spans="1:9" x14ac:dyDescent="0.2">
      <c r="A434">
        <v>424</v>
      </c>
      <c r="B434">
        <v>1501605.1256297461</v>
      </c>
      <c r="C434">
        <v>122995.62784074</v>
      </c>
      <c r="D434">
        <v>96177.850513173878</v>
      </c>
      <c r="E434">
        <v>157395.82755361064</v>
      </c>
      <c r="F434">
        <v>46896.634215249964</v>
      </c>
      <c r="G434">
        <v>10000</v>
      </c>
      <c r="H434">
        <v>413465.94012277451</v>
      </c>
      <c r="I434">
        <v>27.165777754032128</v>
      </c>
    </row>
    <row r="435" spans="1:9" x14ac:dyDescent="0.2">
      <c r="A435">
        <v>425</v>
      </c>
      <c r="B435">
        <v>1403689.699643048</v>
      </c>
      <c r="C435">
        <v>114248.12790153261</v>
      </c>
      <c r="D435">
        <v>130680.20385852245</v>
      </c>
      <c r="E435">
        <v>108211.06778565542</v>
      </c>
      <c r="F435">
        <v>43491.535462083833</v>
      </c>
      <c r="G435">
        <v>10000</v>
      </c>
      <c r="H435">
        <v>386630.93500779429</v>
      </c>
      <c r="I435">
        <v>35.430384417209353</v>
      </c>
    </row>
    <row r="436" spans="1:9" x14ac:dyDescent="0.2">
      <c r="A436">
        <v>426</v>
      </c>
      <c r="B436">
        <v>848828.26557323267</v>
      </c>
      <c r="C436">
        <v>117276.03823986577</v>
      </c>
      <c r="D436">
        <v>36597.590783135813</v>
      </c>
      <c r="E436">
        <v>51149.165602609173</v>
      </c>
      <c r="F436">
        <v>39541.096080180636</v>
      </c>
      <c r="G436">
        <v>10000</v>
      </c>
      <c r="H436">
        <v>234563.89070579139</v>
      </c>
      <c r="I436">
        <v>29.811006766444549</v>
      </c>
    </row>
    <row r="437" spans="1:9" x14ac:dyDescent="0.2">
      <c r="A437">
        <v>427</v>
      </c>
      <c r="B437">
        <v>1157471.3411856671</v>
      </c>
      <c r="C437">
        <v>108593.19132523895</v>
      </c>
      <c r="D437">
        <v>77878.024608154621</v>
      </c>
      <c r="E437">
        <v>99772.991688500959</v>
      </c>
      <c r="F437">
        <v>42907.360963050065</v>
      </c>
      <c r="G437">
        <v>10000</v>
      </c>
      <c r="H437">
        <v>319151.56858494459</v>
      </c>
      <c r="I437">
        <v>41.808398677126718</v>
      </c>
    </row>
    <row r="438" spans="1:9" x14ac:dyDescent="0.2">
      <c r="A438">
        <v>428</v>
      </c>
      <c r="B438">
        <v>1008923.0775791752</v>
      </c>
      <c r="C438">
        <v>126738.54390059607</v>
      </c>
      <c r="D438">
        <v>76068.875617819402</v>
      </c>
      <c r="E438">
        <v>46418.933101721501</v>
      </c>
      <c r="F438">
        <v>39213.618445503795</v>
      </c>
      <c r="G438">
        <v>10000</v>
      </c>
      <c r="H438">
        <v>278439.9710656408</v>
      </c>
      <c r="I438">
        <v>54.641766708876133</v>
      </c>
    </row>
    <row r="439" spans="1:9" x14ac:dyDescent="0.2">
      <c r="A439">
        <v>429</v>
      </c>
      <c r="B439">
        <v>1358730.8520974079</v>
      </c>
      <c r="C439">
        <v>145563.79753963646</v>
      </c>
      <c r="D439">
        <v>128243.63916375411</v>
      </c>
      <c r="E439">
        <v>69678.070767441808</v>
      </c>
      <c r="F439">
        <v>40823.866437745972</v>
      </c>
      <c r="G439">
        <v>10000</v>
      </c>
      <c r="H439">
        <v>374309.37390857836</v>
      </c>
      <c r="I439">
        <v>37.923643972495341</v>
      </c>
    </row>
    <row r="440" spans="1:9" x14ac:dyDescent="0.2">
      <c r="A440">
        <v>430</v>
      </c>
      <c r="B440">
        <v>1906046.15633761</v>
      </c>
      <c r="C440">
        <v>131297.45132548272</v>
      </c>
      <c r="D440">
        <v>151050.98630498923</v>
      </c>
      <c r="E440">
        <v>201976.85201920322</v>
      </c>
      <c r="F440">
        <v>49983.012832098684</v>
      </c>
      <c r="G440">
        <v>10000</v>
      </c>
      <c r="H440">
        <v>524308.30248177378</v>
      </c>
      <c r="I440">
        <v>27.715344898712967</v>
      </c>
    </row>
    <row r="441" spans="1:9" x14ac:dyDescent="0.2">
      <c r="A441">
        <v>431</v>
      </c>
      <c r="B441">
        <v>1221590.4771042485</v>
      </c>
      <c r="C441">
        <v>132194.95175469093</v>
      </c>
      <c r="D441">
        <v>59321.870882634401</v>
      </c>
      <c r="E441">
        <v>111488.96804337586</v>
      </c>
      <c r="F441">
        <v>43718.467018387557</v>
      </c>
      <c r="G441">
        <v>10000</v>
      </c>
      <c r="H441">
        <v>336724.25769908878</v>
      </c>
      <c r="I441">
        <v>42.513513921857268</v>
      </c>
    </row>
    <row r="442" spans="1:9" x14ac:dyDescent="0.2">
      <c r="A442">
        <v>432</v>
      </c>
      <c r="B442">
        <v>1511511.3808585075</v>
      </c>
      <c r="C442">
        <v>128053.59541555203</v>
      </c>
      <c r="D442">
        <v>117094.05671511932</v>
      </c>
      <c r="E442">
        <v>135642.58640524631</v>
      </c>
      <c r="F442">
        <v>45390.640597286285</v>
      </c>
      <c r="G442">
        <v>10000</v>
      </c>
      <c r="H442">
        <v>416180.879133204</v>
      </c>
      <c r="I442">
        <v>36.431475345308115</v>
      </c>
    </row>
    <row r="443" spans="1:9" x14ac:dyDescent="0.2">
      <c r="A443">
        <v>433</v>
      </c>
      <c r="B443">
        <v>949282.81374678481</v>
      </c>
      <c r="C443">
        <v>81537.651661980155</v>
      </c>
      <c r="D443">
        <v>123051.93073481394</v>
      </c>
      <c r="E443">
        <v>29465.288529498754</v>
      </c>
      <c r="F443">
        <v>38039.904590503756</v>
      </c>
      <c r="G443">
        <v>10000</v>
      </c>
      <c r="H443">
        <v>262094.77551679662</v>
      </c>
      <c r="I443">
        <v>31.389770504651185</v>
      </c>
    </row>
    <row r="444" spans="1:9" x14ac:dyDescent="0.2">
      <c r="A444">
        <v>434</v>
      </c>
      <c r="B444">
        <v>1073623.2323314608</v>
      </c>
      <c r="C444">
        <v>74187.071494585689</v>
      </c>
      <c r="D444">
        <v>103103.52492656857</v>
      </c>
      <c r="E444">
        <v>86867.402485776882</v>
      </c>
      <c r="F444">
        <v>42013.897095169166</v>
      </c>
      <c r="G444">
        <v>10000</v>
      </c>
      <c r="H444">
        <v>296171.89600210031</v>
      </c>
      <c r="I444">
        <v>35.243531040539708</v>
      </c>
    </row>
    <row r="445" spans="1:9" x14ac:dyDescent="0.2">
      <c r="A445">
        <v>435</v>
      </c>
      <c r="B445">
        <v>1116364.7607217082</v>
      </c>
      <c r="C445">
        <v>77592.146291117373</v>
      </c>
      <c r="D445">
        <v>138711.19297690445</v>
      </c>
      <c r="E445">
        <v>61336.087924795567</v>
      </c>
      <c r="F445">
        <v>40246.344548639689</v>
      </c>
      <c r="G445">
        <v>10000</v>
      </c>
      <c r="H445">
        <v>307885.77174145705</v>
      </c>
      <c r="I445">
        <v>50.117854615134128</v>
      </c>
    </row>
    <row r="446" spans="1:9" x14ac:dyDescent="0.2">
      <c r="A446">
        <v>436</v>
      </c>
      <c r="B446">
        <v>1376488.8073519696</v>
      </c>
      <c r="C446">
        <v>106615.36596611358</v>
      </c>
      <c r="D446">
        <v>104872.65624515376</v>
      </c>
      <c r="E446">
        <v>132514.09894750974</v>
      </c>
      <c r="F446">
        <v>45174.053004058362</v>
      </c>
      <c r="G446">
        <v>10000</v>
      </c>
      <c r="H446">
        <v>379176.17416283541</v>
      </c>
      <c r="I446">
        <v>27.476925187495887</v>
      </c>
    </row>
    <row r="447" spans="1:9" x14ac:dyDescent="0.2">
      <c r="A447">
        <v>437</v>
      </c>
      <c r="B447">
        <v>1329144.3857558479</v>
      </c>
      <c r="C447">
        <v>101032.38556424645</v>
      </c>
      <c r="D447">
        <v>147013.81340210154</v>
      </c>
      <c r="E447">
        <v>86187.77062101406</v>
      </c>
      <c r="F447">
        <v>41966.845658377897</v>
      </c>
      <c r="G447">
        <v>10000</v>
      </c>
      <c r="H447">
        <v>366200.81524573994</v>
      </c>
      <c r="I447">
        <v>27.99897489460874</v>
      </c>
    </row>
    <row r="448" spans="1:9" x14ac:dyDescent="0.2">
      <c r="A448">
        <v>438</v>
      </c>
      <c r="B448">
        <v>1229700.4536439143</v>
      </c>
      <c r="C448">
        <v>97035.495695898018</v>
      </c>
      <c r="D448">
        <v>153509.36935938083</v>
      </c>
      <c r="E448">
        <v>58361.618226154096</v>
      </c>
      <c r="F448">
        <v>40040.419723349136</v>
      </c>
      <c r="G448">
        <v>10000</v>
      </c>
      <c r="H448">
        <v>338946.9030047821</v>
      </c>
      <c r="I448">
        <v>39.466611827446926</v>
      </c>
    </row>
    <row r="449" spans="1:9" x14ac:dyDescent="0.2">
      <c r="A449">
        <v>439</v>
      </c>
      <c r="B449">
        <v>1233147.5447473619</v>
      </c>
      <c r="C449">
        <v>96406.920089068255</v>
      </c>
      <c r="D449">
        <v>80954.098067798244</v>
      </c>
      <c r="E449">
        <v>127690.49418350711</v>
      </c>
      <c r="F449">
        <v>44840.111135781255</v>
      </c>
      <c r="G449">
        <v>10000</v>
      </c>
      <c r="H449">
        <v>339891.62347615487</v>
      </c>
      <c r="I449">
        <v>31.247802721952908</v>
      </c>
    </row>
    <row r="450" spans="1:9" x14ac:dyDescent="0.2">
      <c r="A450">
        <v>440</v>
      </c>
      <c r="B450">
        <v>1358829.8085933626</v>
      </c>
      <c r="C450">
        <v>88153.123700294658</v>
      </c>
      <c r="D450">
        <v>63159.566723997668</v>
      </c>
      <c r="E450">
        <v>184266.86687103729</v>
      </c>
      <c r="F450">
        <v>48756.936937225662</v>
      </c>
      <c r="G450">
        <v>10000</v>
      </c>
      <c r="H450">
        <v>374336.49423255527</v>
      </c>
      <c r="I450">
        <v>34.587471179760982</v>
      </c>
    </row>
    <row r="451" spans="1:9" x14ac:dyDescent="0.2">
      <c r="A451">
        <v>441</v>
      </c>
      <c r="B451">
        <v>1598491.5479491132</v>
      </c>
      <c r="C451">
        <v>142969.70540717669</v>
      </c>
      <c r="D451">
        <v>63647.952809427705</v>
      </c>
      <c r="E451">
        <v>193972.41554889249</v>
      </c>
      <c r="F451">
        <v>49428.859538000244</v>
      </c>
      <c r="G451">
        <v>10000</v>
      </c>
      <c r="H451">
        <v>440018.93330349709</v>
      </c>
      <c r="I451">
        <v>37.996743053154788</v>
      </c>
    </row>
    <row r="452" spans="1:9" x14ac:dyDescent="0.2">
      <c r="A452">
        <v>442</v>
      </c>
      <c r="B452">
        <v>1560433.6051973472</v>
      </c>
      <c r="C452">
        <v>124163.36160061913</v>
      </c>
      <c r="D452">
        <v>129432.81392723338</v>
      </c>
      <c r="E452">
        <v>140280.73672075965</v>
      </c>
      <c r="F452">
        <v>45711.743311437203</v>
      </c>
      <c r="G452">
        <v>10000</v>
      </c>
      <c r="H452">
        <v>429588.65556004934</v>
      </c>
      <c r="I452">
        <v>36.964002605809625</v>
      </c>
    </row>
    <row r="453" spans="1:9" x14ac:dyDescent="0.2">
      <c r="A453">
        <v>443</v>
      </c>
      <c r="B453">
        <v>718996.02161016187</v>
      </c>
      <c r="C453">
        <v>94122.185558473226</v>
      </c>
      <c r="D453">
        <v>44756.287806383807</v>
      </c>
      <c r="E453">
        <v>31895.069944685605</v>
      </c>
      <c r="F453">
        <v>38208.120226939776</v>
      </c>
      <c r="G453">
        <v>10000</v>
      </c>
      <c r="H453">
        <v>198981.66353648243</v>
      </c>
      <c r="I453">
        <v>39.290591581053491</v>
      </c>
    </row>
    <row r="454" spans="1:9" x14ac:dyDescent="0.2">
      <c r="A454">
        <v>444</v>
      </c>
      <c r="B454">
        <v>1553849.732415617</v>
      </c>
      <c r="C454">
        <v>120649.20392982222</v>
      </c>
      <c r="D454">
        <v>126363.40496582969</v>
      </c>
      <c r="E454">
        <v>144750.46410776261</v>
      </c>
      <c r="F454">
        <v>46021.185976691253</v>
      </c>
      <c r="G454">
        <v>10000</v>
      </c>
      <c r="H454">
        <v>427784.25898010581</v>
      </c>
      <c r="I454">
        <v>37.0732091338148</v>
      </c>
    </row>
    <row r="455" spans="1:9" x14ac:dyDescent="0.2">
      <c r="A455">
        <v>445</v>
      </c>
      <c r="B455">
        <v>1056395.2899382655</v>
      </c>
      <c r="C455">
        <v>104833.40860994176</v>
      </c>
      <c r="D455">
        <v>72076.555564728114</v>
      </c>
      <c r="E455">
        <v>82807.557627924733</v>
      </c>
      <c r="F455">
        <v>41732.830912702484</v>
      </c>
      <c r="G455">
        <v>10000</v>
      </c>
      <c r="H455">
        <v>291450.35271529708</v>
      </c>
      <c r="I455">
        <v>27.629530394102513</v>
      </c>
    </row>
    <row r="456" spans="1:9" x14ac:dyDescent="0.2">
      <c r="A456">
        <v>446</v>
      </c>
      <c r="B456">
        <v>1624251.5295711325</v>
      </c>
      <c r="C456">
        <v>78514.977940472134</v>
      </c>
      <c r="D456">
        <v>162912.86324941579</v>
      </c>
      <c r="E456">
        <v>168018.87645268545</v>
      </c>
      <c r="F456">
        <v>47632.076062108987</v>
      </c>
      <c r="G456">
        <v>10000</v>
      </c>
      <c r="H456">
        <v>447078.79370468238</v>
      </c>
      <c r="I456">
        <v>26.070069634277949</v>
      </c>
    </row>
    <row r="457" spans="1:9" x14ac:dyDescent="0.2">
      <c r="A457">
        <v>447</v>
      </c>
      <c r="B457">
        <v>1562920.6188260887</v>
      </c>
      <c r="C457">
        <v>153000.80577739736</v>
      </c>
      <c r="D457">
        <v>105239.31782357463</v>
      </c>
      <c r="E457">
        <v>136574.9423085007</v>
      </c>
      <c r="F457">
        <v>45455.188313665436</v>
      </c>
      <c r="G457">
        <v>10000</v>
      </c>
      <c r="H457">
        <v>430270.25422313815</v>
      </c>
      <c r="I457">
        <v>27.906628319366263</v>
      </c>
    </row>
    <row r="458" spans="1:9" x14ac:dyDescent="0.2">
      <c r="A458">
        <v>448</v>
      </c>
      <c r="B458">
        <v>1632175.4926731056</v>
      </c>
      <c r="C458">
        <v>168088.52235585789</v>
      </c>
      <c r="D458">
        <v>55853.142891281299</v>
      </c>
      <c r="E458">
        <v>186403.90837927259</v>
      </c>
      <c r="F458">
        <v>48904.885964718866</v>
      </c>
      <c r="G458">
        <v>10000</v>
      </c>
      <c r="H458">
        <v>449250.45959113061</v>
      </c>
      <c r="I458">
        <v>34.540811625652623</v>
      </c>
    </row>
    <row r="459" spans="1:9" x14ac:dyDescent="0.2">
      <c r="A459">
        <v>449</v>
      </c>
      <c r="B459">
        <v>1220541.7084342258</v>
      </c>
      <c r="C459">
        <v>156233.06944943697</v>
      </c>
      <c r="D459">
        <v>104903.75490528639</v>
      </c>
      <c r="E459">
        <v>46107.917926529597</v>
      </c>
      <c r="F459">
        <v>39192.086625682816</v>
      </c>
      <c r="G459">
        <v>10000</v>
      </c>
      <c r="H459">
        <v>336436.82890693581</v>
      </c>
      <c r="I459">
        <v>38.712158948879335</v>
      </c>
    </row>
    <row r="460" spans="1:9" x14ac:dyDescent="0.2">
      <c r="A460">
        <v>450</v>
      </c>
      <c r="B460">
        <v>1597537.0452002147</v>
      </c>
      <c r="C460">
        <v>133924.34288459006</v>
      </c>
      <c r="D460">
        <v>152629.05735412901</v>
      </c>
      <c r="E460">
        <v>118967.7128115572</v>
      </c>
      <c r="F460">
        <v>44236.226271569343</v>
      </c>
      <c r="G460">
        <v>10000</v>
      </c>
      <c r="H460">
        <v>439757.33932184562</v>
      </c>
      <c r="I460">
        <v>25.932906021698656</v>
      </c>
    </row>
    <row r="461" spans="1:9" x14ac:dyDescent="0.2">
      <c r="A461">
        <v>451</v>
      </c>
      <c r="B461">
        <v>1009049.3837134559</v>
      </c>
      <c r="C461">
        <v>105648.33087907272</v>
      </c>
      <c r="D461">
        <v>77658.378006180195</v>
      </c>
      <c r="E461">
        <v>64689.382331159686</v>
      </c>
      <c r="F461">
        <v>40478.495699849518</v>
      </c>
      <c r="G461">
        <v>10000</v>
      </c>
      <c r="H461">
        <v>278474.58691626211</v>
      </c>
      <c r="I461">
        <v>34.185726234331973</v>
      </c>
    </row>
    <row r="462" spans="1:9" x14ac:dyDescent="0.2">
      <c r="A462">
        <v>452</v>
      </c>
      <c r="B462">
        <v>1550755.479751294</v>
      </c>
      <c r="C462">
        <v>131057.50487470246</v>
      </c>
      <c r="D462">
        <v>131435.9260011568</v>
      </c>
      <c r="E462">
        <v>129478.88483292608</v>
      </c>
      <c r="F462">
        <v>44963.922796125655</v>
      </c>
      <c r="G462">
        <v>10000</v>
      </c>
      <c r="H462">
        <v>426936.23850491096</v>
      </c>
      <c r="I462">
        <v>33.410974066042293</v>
      </c>
    </row>
    <row r="463" spans="1:9" x14ac:dyDescent="0.2">
      <c r="A463">
        <v>453</v>
      </c>
      <c r="B463">
        <v>1712971.5134930108</v>
      </c>
      <c r="C463">
        <v>113724.73011653393</v>
      </c>
      <c r="D463">
        <v>146778.15662583872</v>
      </c>
      <c r="E463">
        <v>172919.43521098522</v>
      </c>
      <c r="F463">
        <v>47971.34551460667</v>
      </c>
      <c r="G463">
        <v>10000</v>
      </c>
      <c r="H463">
        <v>471393.66746796458</v>
      </c>
      <c r="I463">
        <v>38.739902236919427</v>
      </c>
    </row>
    <row r="464" spans="1:9" x14ac:dyDescent="0.2">
      <c r="A464">
        <v>454</v>
      </c>
      <c r="B464">
        <v>1570267.6833540928</v>
      </c>
      <c r="C464">
        <v>128660.36791648074</v>
      </c>
      <c r="D464">
        <v>79483.007490115881</v>
      </c>
      <c r="E464">
        <v>185311.20109307588</v>
      </c>
      <c r="F464">
        <v>48829.23699875141</v>
      </c>
      <c r="G464">
        <v>10000</v>
      </c>
      <c r="H464">
        <v>432283.8134984239</v>
      </c>
      <c r="I464">
        <v>27.956870341336945</v>
      </c>
    </row>
    <row r="465" spans="1:9" x14ac:dyDescent="0.2">
      <c r="A465">
        <v>455</v>
      </c>
      <c r="B465">
        <v>1030140.9466340251</v>
      </c>
      <c r="C465">
        <v>138188.22718848073</v>
      </c>
      <c r="D465">
        <v>92106.990159710869</v>
      </c>
      <c r="E465">
        <v>26149.442642051439</v>
      </c>
      <c r="F465">
        <v>37810.346029065098</v>
      </c>
      <c r="G465">
        <v>10000</v>
      </c>
      <c r="H465">
        <v>284255.00601930812</v>
      </c>
      <c r="I465">
        <v>42.625846151628622</v>
      </c>
    </row>
    <row r="466" spans="1:9" x14ac:dyDescent="0.2">
      <c r="A466">
        <v>456</v>
      </c>
      <c r="B466">
        <v>1160098.3998689719</v>
      </c>
      <c r="C466">
        <v>103064.06439381995</v>
      </c>
      <c r="D466">
        <v>63882.401413107887</v>
      </c>
      <c r="E466">
        <v>118706.91180549684</v>
      </c>
      <c r="F466">
        <v>44218.170817303624</v>
      </c>
      <c r="G466">
        <v>10000</v>
      </c>
      <c r="H466">
        <v>319871.54842972831</v>
      </c>
      <c r="I466">
        <v>37.312183005933278</v>
      </c>
    </row>
    <row r="467" spans="1:9" x14ac:dyDescent="0.2">
      <c r="A467">
        <v>457</v>
      </c>
      <c r="B467">
        <v>1524800.4309940855</v>
      </c>
      <c r="C467">
        <v>139758.13819413076</v>
      </c>
      <c r="D467">
        <v>104380.08274011193</v>
      </c>
      <c r="E467">
        <v>139992.88158675854</v>
      </c>
      <c r="F467">
        <v>45691.814879083286</v>
      </c>
      <c r="G467">
        <v>10000</v>
      </c>
      <c r="H467">
        <v>419822.91740008455</v>
      </c>
      <c r="I467">
        <v>39.780866114830204</v>
      </c>
    </row>
    <row r="468" spans="1:9" x14ac:dyDescent="0.2">
      <c r="A468">
        <v>458</v>
      </c>
      <c r="B468">
        <v>1474613.8125640559</v>
      </c>
      <c r="C468">
        <v>117162.79263336763</v>
      </c>
      <c r="D468">
        <v>129319.40005810624</v>
      </c>
      <c r="E468">
        <v>124936.94379418697</v>
      </c>
      <c r="F468">
        <v>44649.480724212946</v>
      </c>
      <c r="G468">
        <v>10000</v>
      </c>
      <c r="H468">
        <v>406068.6172098738</v>
      </c>
      <c r="I468">
        <v>27.317976960208128</v>
      </c>
    </row>
    <row r="469" spans="1:9" x14ac:dyDescent="0.2">
      <c r="A469">
        <v>459</v>
      </c>
      <c r="B469">
        <v>1415031.9304583203</v>
      </c>
      <c r="C469">
        <v>74674.369680088057</v>
      </c>
      <c r="D469">
        <v>88273.261492621314</v>
      </c>
      <c r="E469">
        <v>187790.88344953285</v>
      </c>
      <c r="F469">
        <v>49000.907315736891</v>
      </c>
      <c r="G469">
        <v>10000</v>
      </c>
      <c r="H469">
        <v>389739.42193797906</v>
      </c>
      <c r="I469">
        <v>31.111340447741405</v>
      </c>
    </row>
    <row r="470" spans="1:9" x14ac:dyDescent="0.2">
      <c r="A470">
        <v>460</v>
      </c>
      <c r="B470">
        <v>1141002.491699819</v>
      </c>
      <c r="C470">
        <v>101363.26514786053</v>
      </c>
      <c r="D470">
        <v>68064.625498238864</v>
      </c>
      <c r="E470">
        <v>111491.52964672646</v>
      </c>
      <c r="F470">
        <v>43718.644360157989</v>
      </c>
      <c r="G470">
        <v>10000</v>
      </c>
      <c r="H470">
        <v>314638.06465298386</v>
      </c>
      <c r="I470">
        <v>40.550839219834032</v>
      </c>
    </row>
    <row r="471" spans="1:9" x14ac:dyDescent="0.2">
      <c r="A471">
        <v>461</v>
      </c>
      <c r="B471">
        <v>1231526.6758917461</v>
      </c>
      <c r="C471">
        <v>103243.34519573198</v>
      </c>
      <c r="D471">
        <v>102875.30068870555</v>
      </c>
      <c r="E471">
        <v>100379.41325501405</v>
      </c>
      <c r="F471">
        <v>42949.343994577896</v>
      </c>
      <c r="G471">
        <v>10000</v>
      </c>
      <c r="H471">
        <v>339447.40313402948</v>
      </c>
      <c r="I471">
        <v>40.800606096209577</v>
      </c>
    </row>
    <row r="472" spans="1:9" x14ac:dyDescent="0.2">
      <c r="A472">
        <v>462</v>
      </c>
      <c r="B472">
        <v>1684256.7011909061</v>
      </c>
      <c r="C472">
        <v>124617.57876987866</v>
      </c>
      <c r="D472">
        <v>137677.78286219036</v>
      </c>
      <c r="E472">
        <v>163882.89639914641</v>
      </c>
      <c r="F472">
        <v>47345.738981479371</v>
      </c>
      <c r="G472">
        <v>10000</v>
      </c>
      <c r="H472">
        <v>463523.99701269477</v>
      </c>
      <c r="I472">
        <v>53.783697746053818</v>
      </c>
    </row>
    <row r="473" spans="1:9" x14ac:dyDescent="0.2">
      <c r="A473">
        <v>463</v>
      </c>
      <c r="B473">
        <v>1638209.133809776</v>
      </c>
      <c r="C473">
        <v>108712.7639369525</v>
      </c>
      <c r="D473">
        <v>115388.44394848107</v>
      </c>
      <c r="E473">
        <v>187801.2267081748</v>
      </c>
      <c r="F473">
        <v>49001.623387489024</v>
      </c>
      <c r="G473">
        <v>10000</v>
      </c>
      <c r="H473">
        <v>450904.05798109737</v>
      </c>
      <c r="I473">
        <v>36.842296623595537</v>
      </c>
    </row>
    <row r="474" spans="1:9" x14ac:dyDescent="0.2">
      <c r="A474">
        <v>464</v>
      </c>
      <c r="B474">
        <v>1525309.3148963577</v>
      </c>
      <c r="C474">
        <v>133394.74868308444</v>
      </c>
      <c r="D474">
        <v>123892.21595857595</v>
      </c>
      <c r="E474">
        <v>127825.931492966</v>
      </c>
      <c r="F474">
        <v>44849.487564897645</v>
      </c>
      <c r="G474">
        <v>10000</v>
      </c>
      <c r="H474">
        <v>419962.38369952404</v>
      </c>
      <c r="I474">
        <v>34.821961034883607</v>
      </c>
    </row>
    <row r="475" spans="1:9" x14ac:dyDescent="0.2">
      <c r="A475">
        <v>465</v>
      </c>
      <c r="B475">
        <v>1198819.2199298362</v>
      </c>
      <c r="C475">
        <v>109715.11515727288</v>
      </c>
      <c r="D475">
        <v>90609.951835282918</v>
      </c>
      <c r="E475">
        <v>97414.358422681791</v>
      </c>
      <c r="F475">
        <v>42744.070967724125</v>
      </c>
      <c r="G475">
        <v>10000</v>
      </c>
      <c r="H475">
        <v>330483.49638296175</v>
      </c>
      <c r="I475">
        <v>34.491108495251723</v>
      </c>
    </row>
    <row r="476" spans="1:9" x14ac:dyDescent="0.2">
      <c r="A476">
        <v>466</v>
      </c>
      <c r="B476">
        <v>1549333.6853344897</v>
      </c>
      <c r="C476">
        <v>93919.78790969649</v>
      </c>
      <c r="D476">
        <v>111482.5484671749</v>
      </c>
      <c r="E476">
        <v>182509.00213430755</v>
      </c>
      <c r="F476">
        <v>48635.23860929822</v>
      </c>
      <c r="G476">
        <v>10000</v>
      </c>
      <c r="H476">
        <v>426546.57712047722</v>
      </c>
      <c r="I476">
        <v>29.80049027435075</v>
      </c>
    </row>
    <row r="477" spans="1:9" x14ac:dyDescent="0.2">
      <c r="A477">
        <v>467</v>
      </c>
      <c r="B477">
        <v>1181265.0786759702</v>
      </c>
      <c r="C477">
        <v>92567.140605756533</v>
      </c>
      <c r="D477">
        <v>90364.548005421995</v>
      </c>
      <c r="E477">
        <v>109182.10434425055</v>
      </c>
      <c r="F477">
        <v>43558.761069986576</v>
      </c>
      <c r="G477">
        <v>10000</v>
      </c>
      <c r="H477">
        <v>325672.55402541562</v>
      </c>
      <c r="I477">
        <v>35.543240899864969</v>
      </c>
    </row>
    <row r="478" spans="1:9" x14ac:dyDescent="0.2">
      <c r="A478">
        <v>468</v>
      </c>
      <c r="B478">
        <v>1486786.5089722206</v>
      </c>
      <c r="C478">
        <v>156815.84734889481</v>
      </c>
      <c r="D478">
        <v>101457.695751172</v>
      </c>
      <c r="E478">
        <v>117029.14339461303</v>
      </c>
      <c r="F478">
        <v>44102.017619627055</v>
      </c>
      <c r="G478">
        <v>10000</v>
      </c>
      <c r="H478">
        <v>409404.70411430689</v>
      </c>
      <c r="I478">
        <v>37.379957907060032</v>
      </c>
    </row>
    <row r="479" spans="1:9" x14ac:dyDescent="0.2">
      <c r="A479">
        <v>469</v>
      </c>
      <c r="B479">
        <v>1492125.324934989</v>
      </c>
      <c r="C479">
        <v>98624.696458537015</v>
      </c>
      <c r="D479">
        <v>88362.701061363245</v>
      </c>
      <c r="E479">
        <v>185068.07392580333</v>
      </c>
      <c r="F479">
        <v>48812.40511794023</v>
      </c>
      <c r="G479">
        <v>10000</v>
      </c>
      <c r="H479">
        <v>410867.8765636438</v>
      </c>
      <c r="I479">
        <v>41.856310724076366</v>
      </c>
    </row>
    <row r="480" spans="1:9" x14ac:dyDescent="0.2">
      <c r="A480">
        <v>470</v>
      </c>
      <c r="B480">
        <v>1228019.5940659433</v>
      </c>
      <c r="C480">
        <v>91872.903589208479</v>
      </c>
      <c r="D480">
        <v>85353.254773866836</v>
      </c>
      <c r="E480">
        <v>126502.23595191994</v>
      </c>
      <c r="F480">
        <v>44757.847104363689</v>
      </c>
      <c r="G480">
        <v>10000</v>
      </c>
      <c r="H480">
        <v>338486.24141935894</v>
      </c>
      <c r="I480">
        <v>34.730431885011768</v>
      </c>
    </row>
    <row r="481" spans="1:9" x14ac:dyDescent="0.2">
      <c r="A481">
        <v>471</v>
      </c>
      <c r="B481">
        <v>1630784.428414159</v>
      </c>
      <c r="C481">
        <v>97519.7294529871</v>
      </c>
      <c r="D481">
        <v>143909.24369075228</v>
      </c>
      <c r="E481">
        <v>169692.31739916577</v>
      </c>
      <c r="F481">
        <v>47747.92966609609</v>
      </c>
      <c r="G481">
        <v>10000</v>
      </c>
      <c r="H481">
        <v>448869.22020900127</v>
      </c>
      <c r="I481">
        <v>32.828899469706613</v>
      </c>
    </row>
    <row r="482" spans="1:9" x14ac:dyDescent="0.2">
      <c r="A482">
        <v>472</v>
      </c>
      <c r="B482">
        <v>1628956.3370217993</v>
      </c>
      <c r="C482">
        <v>155392.72290184221</v>
      </c>
      <c r="D482">
        <v>121317.30590910254</v>
      </c>
      <c r="E482">
        <v>136227.07388981787</v>
      </c>
      <c r="F482">
        <v>45431.105115448932</v>
      </c>
      <c r="G482">
        <v>10000</v>
      </c>
      <c r="H482">
        <v>448368.20781621156</v>
      </c>
      <c r="I482">
        <v>35.9593639489933</v>
      </c>
    </row>
    <row r="483" spans="1:9" x14ac:dyDescent="0.2">
      <c r="A483">
        <v>473</v>
      </c>
      <c r="B483">
        <v>1290228.1418068754</v>
      </c>
      <c r="C483">
        <v>107231.94361381781</v>
      </c>
      <c r="D483">
        <v>68093.076395639524</v>
      </c>
      <c r="E483">
        <v>144225.44996300479</v>
      </c>
      <c r="F483">
        <v>45984.838843592639</v>
      </c>
      <c r="G483">
        <v>10000</v>
      </c>
      <c r="H483">
        <v>355535.30881605478</v>
      </c>
      <c r="I483">
        <v>41.36165978801418</v>
      </c>
    </row>
    <row r="484" spans="1:9" x14ac:dyDescent="0.2">
      <c r="A484">
        <v>474</v>
      </c>
      <c r="B484">
        <v>1311822.9294516591</v>
      </c>
      <c r="C484">
        <v>109624.76397593188</v>
      </c>
      <c r="D484">
        <v>91426.014967254785</v>
      </c>
      <c r="E484">
        <v>125700.52057159592</v>
      </c>
      <c r="F484">
        <v>44702.343731879715</v>
      </c>
      <c r="G484">
        <v>10000</v>
      </c>
      <c r="H484">
        <v>361453.64324666234</v>
      </c>
      <c r="I484">
        <v>42.213999118410982</v>
      </c>
    </row>
    <row r="485" spans="1:9" x14ac:dyDescent="0.2">
      <c r="A485">
        <v>475</v>
      </c>
      <c r="B485">
        <v>1012693.635301443</v>
      </c>
      <c r="C485">
        <v>82364.379361394211</v>
      </c>
      <c r="D485">
        <v>142971.39020363128</v>
      </c>
      <c r="E485">
        <v>26315.71504092067</v>
      </c>
      <c r="F485">
        <v>37821.857195140663</v>
      </c>
      <c r="G485">
        <v>10000</v>
      </c>
      <c r="H485">
        <v>279473.34180108685</v>
      </c>
      <c r="I485">
        <v>32.611102546630953</v>
      </c>
    </row>
    <row r="486" spans="1:9" x14ac:dyDescent="0.2">
      <c r="A486">
        <v>476</v>
      </c>
      <c r="B486">
        <v>1229803.3469338843</v>
      </c>
      <c r="C486">
        <v>126617.4705192671</v>
      </c>
      <c r="D486">
        <v>66123.373568062831</v>
      </c>
      <c r="E486">
        <v>112449.30620346603</v>
      </c>
      <c r="F486">
        <v>43784.951967932262</v>
      </c>
      <c r="G486">
        <v>10000</v>
      </c>
      <c r="H486">
        <v>338975.10225872824</v>
      </c>
      <c r="I486">
        <v>28.498987211795765</v>
      </c>
    </row>
    <row r="487" spans="1:9" x14ac:dyDescent="0.2">
      <c r="A487">
        <v>477</v>
      </c>
      <c r="B487">
        <v>885047.64825018065</v>
      </c>
      <c r="C487">
        <v>94872.766090898614</v>
      </c>
      <c r="D487">
        <v>84989.590316022295</v>
      </c>
      <c r="E487">
        <v>36126.841540258196</v>
      </c>
      <c r="F487">
        <v>38501.089029710187</v>
      </c>
      <c r="G487">
        <v>10000</v>
      </c>
      <c r="H487">
        <v>244490.2869768893</v>
      </c>
      <c r="I487">
        <v>39.761841171553698</v>
      </c>
    </row>
    <row r="488" spans="1:9" x14ac:dyDescent="0.2">
      <c r="A488">
        <v>478</v>
      </c>
      <c r="B488">
        <v>1225083.6112068393</v>
      </c>
      <c r="C488">
        <v>142425.72199075858</v>
      </c>
      <c r="D488">
        <v>136815.46716814907</v>
      </c>
      <c r="E488">
        <v>30339.94964617271</v>
      </c>
      <c r="F488">
        <v>38100.458052427341</v>
      </c>
      <c r="G488">
        <v>10000</v>
      </c>
      <c r="H488">
        <v>337681.59685750765</v>
      </c>
      <c r="I488">
        <v>47.135227276102675</v>
      </c>
    </row>
    <row r="489" spans="1:9" x14ac:dyDescent="0.2">
      <c r="A489">
        <v>479</v>
      </c>
      <c r="B489">
        <v>1145472.3121142872</v>
      </c>
      <c r="C489">
        <v>86580.685077654663</v>
      </c>
      <c r="D489">
        <v>109665.83972271971</v>
      </c>
      <c r="E489">
        <v>87555.049277204409</v>
      </c>
      <c r="F489">
        <v>42061.503411498772</v>
      </c>
      <c r="G489">
        <v>10000</v>
      </c>
      <c r="H489">
        <v>315863.07748907758</v>
      </c>
      <c r="I489">
        <v>49.047014134677639</v>
      </c>
    </row>
    <row r="490" spans="1:9" x14ac:dyDescent="0.2">
      <c r="A490">
        <v>480</v>
      </c>
      <c r="B490">
        <v>754617.14365146868</v>
      </c>
      <c r="C490">
        <v>74250.158447417169</v>
      </c>
      <c r="D490">
        <v>76251.18441969328</v>
      </c>
      <c r="E490">
        <v>30155.095330519103</v>
      </c>
      <c r="F490">
        <v>38087.660445959016</v>
      </c>
      <c r="G490">
        <v>10000</v>
      </c>
      <c r="H490">
        <v>208744.09864358857</v>
      </c>
      <c r="I490">
        <v>33.107615663162477</v>
      </c>
    </row>
    <row r="491" spans="1:9" x14ac:dyDescent="0.2">
      <c r="A491">
        <v>481</v>
      </c>
      <c r="B491">
        <v>943139.31164338719</v>
      </c>
      <c r="C491">
        <v>99229.806758408697</v>
      </c>
      <c r="D491">
        <v>67134.755459874112</v>
      </c>
      <c r="E491">
        <v>63640.617189185767</v>
      </c>
      <c r="F491">
        <v>40405.888882328247</v>
      </c>
      <c r="G491">
        <v>10000</v>
      </c>
      <c r="H491">
        <v>260411.06828979682</v>
      </c>
      <c r="I491">
        <v>40.83513972358017</v>
      </c>
    </row>
    <row r="492" spans="1:9" x14ac:dyDescent="0.2">
      <c r="A492">
        <v>482</v>
      </c>
      <c r="B492">
        <v>1410137.3444275735</v>
      </c>
      <c r="C492">
        <v>111628.80466396885</v>
      </c>
      <c r="D492">
        <v>116202.66295348968</v>
      </c>
      <c r="E492">
        <v>125853.5881828062</v>
      </c>
      <c r="F492">
        <v>44712.940720348124</v>
      </c>
      <c r="G492">
        <v>10000</v>
      </c>
      <c r="H492">
        <v>388397.99652061285</v>
      </c>
      <c r="I492">
        <v>37.203647764203168</v>
      </c>
    </row>
    <row r="493" spans="1:9" x14ac:dyDescent="0.2">
      <c r="A493">
        <v>483</v>
      </c>
      <c r="B493">
        <v>933749.1314842673</v>
      </c>
      <c r="C493">
        <v>105611.92528587928</v>
      </c>
      <c r="D493">
        <v>32810.295643869787</v>
      </c>
      <c r="E493">
        <v>87366.869875882621</v>
      </c>
      <c r="F493">
        <v>42048.475606791879</v>
      </c>
      <c r="G493">
        <v>10000</v>
      </c>
      <c r="H493">
        <v>257837.56641242362</v>
      </c>
      <c r="I493">
        <v>28.308665759580286</v>
      </c>
    </row>
    <row r="494" spans="1:9" x14ac:dyDescent="0.2">
      <c r="A494">
        <v>484</v>
      </c>
      <c r="B494">
        <v>1084724.0009586308</v>
      </c>
      <c r="C494">
        <v>83885.643849083528</v>
      </c>
      <c r="D494">
        <v>141719.50820957872</v>
      </c>
      <c r="E494">
        <v>44526.454314665272</v>
      </c>
      <c r="F494">
        <v>39082.600683322977</v>
      </c>
      <c r="G494">
        <v>10000</v>
      </c>
      <c r="H494">
        <v>299214.20705665054</v>
      </c>
      <c r="I494">
        <v>27.819978284301378</v>
      </c>
    </row>
    <row r="495" spans="1:9" x14ac:dyDescent="0.2">
      <c r="A495">
        <v>485</v>
      </c>
      <c r="B495">
        <v>1202194.5054568655</v>
      </c>
      <c r="C495">
        <v>121761.70890540758</v>
      </c>
      <c r="D495">
        <v>108490.73627527147</v>
      </c>
      <c r="E495">
        <v>70289.870603802876</v>
      </c>
      <c r="F495">
        <v>40866.221811032512</v>
      </c>
      <c r="G495">
        <v>10000</v>
      </c>
      <c r="H495">
        <v>331408.53759551444</v>
      </c>
      <c r="I495">
        <v>37.137419025180279</v>
      </c>
    </row>
    <row r="496" spans="1:9" x14ac:dyDescent="0.2">
      <c r="A496">
        <v>486</v>
      </c>
      <c r="B496">
        <v>1536773.2292827975</v>
      </c>
      <c r="C496">
        <v>107091.93312062856</v>
      </c>
      <c r="D496">
        <v>133598.21511599861</v>
      </c>
      <c r="E496">
        <v>146286.54156881158</v>
      </c>
      <c r="F496">
        <v>46127.529800917728</v>
      </c>
      <c r="G496">
        <v>10000</v>
      </c>
      <c r="H496">
        <v>423104.21960635646</v>
      </c>
      <c r="I496">
        <v>38.939956526734477</v>
      </c>
    </row>
    <row r="497" spans="1:9" x14ac:dyDescent="0.2">
      <c r="A497">
        <v>487</v>
      </c>
      <c r="B497">
        <v>1071273.5537985316</v>
      </c>
      <c r="C497">
        <v>83885.80731700093</v>
      </c>
      <c r="D497">
        <v>61089.934605524024</v>
      </c>
      <c r="E497">
        <v>116487.66335829748</v>
      </c>
      <c r="F497">
        <v>44064.530540189829</v>
      </c>
      <c r="G497">
        <v>10000</v>
      </c>
      <c r="H497">
        <v>295527.93582101224</v>
      </c>
      <c r="I497">
        <v>49.452271032040187</v>
      </c>
    </row>
    <row r="498" spans="1:9" x14ac:dyDescent="0.2">
      <c r="A498">
        <v>488</v>
      </c>
      <c r="B498">
        <v>1145304.093934247</v>
      </c>
      <c r="C498">
        <v>138977.79316594888</v>
      </c>
      <c r="D498">
        <v>62921.828880214263</v>
      </c>
      <c r="E498">
        <v>82224.862562068214</v>
      </c>
      <c r="F498">
        <v>41692.490485066257</v>
      </c>
      <c r="G498">
        <v>10000</v>
      </c>
      <c r="H498">
        <v>315816.9750932976</v>
      </c>
      <c r="I498">
        <v>30.174974616911577</v>
      </c>
    </row>
    <row r="499" spans="1:9" x14ac:dyDescent="0.2">
      <c r="A499">
        <v>489</v>
      </c>
      <c r="B499">
        <v>1109403.5471460968</v>
      </c>
      <c r="C499">
        <v>93998.816267657719</v>
      </c>
      <c r="D499">
        <v>107573.73300693174</v>
      </c>
      <c r="E499">
        <v>73328.801373597118</v>
      </c>
      <c r="F499">
        <v>41076.60932586441</v>
      </c>
      <c r="G499">
        <v>10000</v>
      </c>
      <c r="H499">
        <v>305977.95997405099</v>
      </c>
      <c r="I499">
        <v>32.72067189827257</v>
      </c>
    </row>
    <row r="500" spans="1:9" x14ac:dyDescent="0.2">
      <c r="A500">
        <v>490</v>
      </c>
      <c r="B500">
        <v>1064045.8308837579</v>
      </c>
      <c r="C500">
        <v>122898.17553115693</v>
      </c>
      <c r="D500">
        <v>63066.885814177738</v>
      </c>
      <c r="E500">
        <v>76299.733116996824</v>
      </c>
      <c r="F500">
        <v>41282.289215792087</v>
      </c>
      <c r="G500">
        <v>10000</v>
      </c>
      <c r="H500">
        <v>293547.08367812354</v>
      </c>
      <c r="I500">
        <v>35.207664572621908</v>
      </c>
    </row>
    <row r="501" spans="1:9" x14ac:dyDescent="0.2">
      <c r="A501">
        <v>491</v>
      </c>
      <c r="B501">
        <v>1117694.2068053551</v>
      </c>
      <c r="C501">
        <v>127421.82332477567</v>
      </c>
      <c r="D501">
        <v>35649.597536881731</v>
      </c>
      <c r="E501">
        <v>111462.09632516772</v>
      </c>
      <c r="F501">
        <v>43716.606668665459</v>
      </c>
      <c r="G501">
        <v>10000</v>
      </c>
      <c r="H501">
        <v>308250.12385549064</v>
      </c>
      <c r="I501">
        <v>41.409386168654912</v>
      </c>
    </row>
    <row r="502" spans="1:9" x14ac:dyDescent="0.2">
      <c r="A502">
        <v>492</v>
      </c>
      <c r="B502">
        <v>1287442.3417637653</v>
      </c>
      <c r="C502">
        <v>123126.71424866331</v>
      </c>
      <c r="D502">
        <v>131001.42765165871</v>
      </c>
      <c r="E502">
        <v>69810.637768677785</v>
      </c>
      <c r="F502">
        <v>40833.044153216157</v>
      </c>
      <c r="G502">
        <v>10000</v>
      </c>
      <c r="H502">
        <v>354771.82382221601</v>
      </c>
      <c r="I502">
        <v>34.376669039567048</v>
      </c>
    </row>
    <row r="503" spans="1:9" x14ac:dyDescent="0.2">
      <c r="A503">
        <v>493</v>
      </c>
      <c r="B503">
        <v>1030573.8964704333</v>
      </c>
      <c r="C503">
        <v>99152.64918081912</v>
      </c>
      <c r="D503">
        <v>51387.889120724642</v>
      </c>
      <c r="E503">
        <v>100851.12250309509</v>
      </c>
      <c r="F503">
        <v>42982.00078867581</v>
      </c>
      <c r="G503">
        <v>10000</v>
      </c>
      <c r="H503">
        <v>284373.66159331467</v>
      </c>
      <c r="I503">
        <v>53.500970805992679</v>
      </c>
    </row>
    <row r="504" spans="1:9" x14ac:dyDescent="0.2">
      <c r="A504">
        <v>494</v>
      </c>
      <c r="B504">
        <v>1410256.645869839</v>
      </c>
      <c r="C504">
        <v>132358.96140362218</v>
      </c>
      <c r="D504">
        <v>95299.890655977317</v>
      </c>
      <c r="E504">
        <v>126045.606301612</v>
      </c>
      <c r="F504">
        <v>44726.234282419289</v>
      </c>
      <c r="G504">
        <v>10000</v>
      </c>
      <c r="H504">
        <v>388430.69264363078</v>
      </c>
      <c r="I504">
        <v>35.156736395648537</v>
      </c>
    </row>
    <row r="505" spans="1:9" x14ac:dyDescent="0.2">
      <c r="A505">
        <v>495</v>
      </c>
      <c r="B505">
        <v>1045178.3474880304</v>
      </c>
      <c r="C505">
        <v>111534.08252305879</v>
      </c>
      <c r="D505">
        <v>106678.70945464839</v>
      </c>
      <c r="E505">
        <v>41303.909311182222</v>
      </c>
      <c r="F505">
        <v>38859.501413851074</v>
      </c>
      <c r="G505">
        <v>10000</v>
      </c>
      <c r="H505">
        <v>288376.20270274044</v>
      </c>
      <c r="I505">
        <v>27.646024246995886</v>
      </c>
    </row>
    <row r="506" spans="1:9" x14ac:dyDescent="0.2">
      <c r="A506">
        <v>496</v>
      </c>
      <c r="B506">
        <v>1345156.1284864922</v>
      </c>
      <c r="C506">
        <v>149943.68564597695</v>
      </c>
      <c r="D506">
        <v>86249.318467768855</v>
      </c>
      <c r="E506">
        <v>101377.59040351644</v>
      </c>
      <c r="F506">
        <v>43018.448566397288</v>
      </c>
      <c r="G506">
        <v>10000</v>
      </c>
      <c r="H506">
        <v>370589.04308365955</v>
      </c>
      <c r="I506">
        <v>34.840926057441962</v>
      </c>
    </row>
    <row r="507" spans="1:9" x14ac:dyDescent="0.2">
      <c r="A507">
        <v>497</v>
      </c>
      <c r="B507">
        <v>824939.38658364199</v>
      </c>
      <c r="C507">
        <v>78101.832189149645</v>
      </c>
      <c r="D507">
        <v>78810.975939895114</v>
      </c>
      <c r="E507">
        <v>42183.618036504842</v>
      </c>
      <c r="F507">
        <v>38920.404325604184</v>
      </c>
      <c r="G507">
        <v>10000</v>
      </c>
      <c r="H507">
        <v>228016.83049115379</v>
      </c>
      <c r="I507">
        <v>35.271490977521395</v>
      </c>
    </row>
    <row r="508" spans="1:9" x14ac:dyDescent="0.2">
      <c r="A508">
        <v>498</v>
      </c>
      <c r="B508">
        <v>969442.26857087319</v>
      </c>
      <c r="C508">
        <v>94856.368654793187</v>
      </c>
      <c r="D508">
        <v>79864.984042968106</v>
      </c>
      <c r="E508">
        <v>62566.835348750385</v>
      </c>
      <c r="F508">
        <v>40331.550139528874</v>
      </c>
      <c r="G508">
        <v>10000</v>
      </c>
      <c r="H508">
        <v>267619.73818604054</v>
      </c>
      <c r="I508">
        <v>36.47965562905901</v>
      </c>
    </row>
    <row r="509" spans="1:9" x14ac:dyDescent="0.2">
      <c r="A509">
        <v>499</v>
      </c>
      <c r="B509">
        <v>1346374.3512705262</v>
      </c>
      <c r="C509">
        <v>98923.652318495791</v>
      </c>
      <c r="D509">
        <v>122874.44462681322</v>
      </c>
      <c r="E509">
        <v>115152.70565843997</v>
      </c>
      <c r="F509">
        <v>43972.110391738148</v>
      </c>
      <c r="G509">
        <v>10000</v>
      </c>
      <c r="H509">
        <v>370922.9129954871</v>
      </c>
      <c r="I509">
        <v>43.143153275458985</v>
      </c>
    </row>
    <row r="510" spans="1:9" x14ac:dyDescent="0.2">
      <c r="A510">
        <v>500</v>
      </c>
      <c r="B510">
        <v>1731067.8625662492</v>
      </c>
      <c r="C510">
        <v>109707.51172832098</v>
      </c>
      <c r="D510">
        <v>160620.95354407027</v>
      </c>
      <c r="E510">
        <v>168368.46533894108</v>
      </c>
      <c r="F510">
        <v>47656.278369618994</v>
      </c>
      <c r="G510">
        <v>10000</v>
      </c>
      <c r="H510">
        <v>476353.20898095134</v>
      </c>
      <c r="I510">
        <v>49.24329326296273</v>
      </c>
    </row>
    <row r="511" spans="1:9" x14ac:dyDescent="0.2">
      <c r="A511">
        <v>501</v>
      </c>
      <c r="B511">
        <v>1625402.5396768479</v>
      </c>
      <c r="C511">
        <v>148481.734346579</v>
      </c>
      <c r="D511">
        <v>58669.700926409314</v>
      </c>
      <c r="E511">
        <v>200370.97135047941</v>
      </c>
      <c r="F511">
        <v>49871.836478110112</v>
      </c>
      <c r="G511">
        <v>10000</v>
      </c>
      <c r="H511">
        <v>447394.2431015778</v>
      </c>
      <c r="I511">
        <v>35.703213583354938</v>
      </c>
    </row>
    <row r="512" spans="1:9" x14ac:dyDescent="0.2">
      <c r="A512">
        <v>502</v>
      </c>
      <c r="B512">
        <v>1106152.9839757825</v>
      </c>
      <c r="C512">
        <v>103988.02317780789</v>
      </c>
      <c r="D512">
        <v>139993.35352950115</v>
      </c>
      <c r="E512">
        <v>32832.691370337365</v>
      </c>
      <c r="F512">
        <v>38273.032479484893</v>
      </c>
      <c r="G512">
        <v>10000</v>
      </c>
      <c r="H512">
        <v>305087.10055713134</v>
      </c>
      <c r="I512">
        <v>29.917873081115964</v>
      </c>
    </row>
    <row r="513" spans="1:9" x14ac:dyDescent="0.2">
      <c r="A513">
        <v>503</v>
      </c>
      <c r="B513">
        <v>1576394.6107098574</v>
      </c>
      <c r="C513">
        <v>158836.48761417609</v>
      </c>
      <c r="D513">
        <v>95055.426739535542</v>
      </c>
      <c r="E513">
        <v>144095.23956727158</v>
      </c>
      <c r="F513">
        <v>45975.824277734187</v>
      </c>
      <c r="G513">
        <v>10000</v>
      </c>
      <c r="H513">
        <v>433962.97819871741</v>
      </c>
      <c r="I513">
        <v>41.660321075251275</v>
      </c>
    </row>
    <row r="514" spans="1:9" x14ac:dyDescent="0.2">
      <c r="A514">
        <v>504</v>
      </c>
      <c r="B514">
        <v>1191032.2169562008</v>
      </c>
      <c r="C514">
        <v>113272.24002280786</v>
      </c>
      <c r="D514">
        <v>76448.674256947867</v>
      </c>
      <c r="E514">
        <v>105335.96224044115</v>
      </c>
      <c r="F514">
        <v>43292.489693568998</v>
      </c>
      <c r="G514">
        <v>10000</v>
      </c>
      <c r="H514">
        <v>328349.36621376593</v>
      </c>
      <c r="I514">
        <v>40.038169613707574</v>
      </c>
    </row>
    <row r="515" spans="1:9" x14ac:dyDescent="0.2">
      <c r="A515">
        <v>505</v>
      </c>
      <c r="B515">
        <v>1025739.7513046467</v>
      </c>
      <c r="C515">
        <v>121438.35576558244</v>
      </c>
      <c r="D515">
        <v>102316.32493391632</v>
      </c>
      <c r="E515">
        <v>31138.385693087999</v>
      </c>
      <c r="F515">
        <v>38155.734394136867</v>
      </c>
      <c r="G515">
        <v>10000</v>
      </c>
      <c r="H515">
        <v>283048.80078672362</v>
      </c>
      <c r="I515">
        <v>42.000214630017602</v>
      </c>
    </row>
    <row r="516" spans="1:9" x14ac:dyDescent="0.2">
      <c r="A516">
        <v>506</v>
      </c>
      <c r="B516">
        <v>916885.70236724825</v>
      </c>
      <c r="C516">
        <v>100147.36260870227</v>
      </c>
      <c r="D516">
        <v>73399.65620264865</v>
      </c>
      <c r="E516">
        <v>50193.938948356423</v>
      </c>
      <c r="F516">
        <v>39474.965004116981</v>
      </c>
      <c r="G516">
        <v>10000</v>
      </c>
      <c r="H516">
        <v>253215.92276382435</v>
      </c>
      <c r="I516">
        <v>47.128232886965357</v>
      </c>
    </row>
    <row r="517" spans="1:9" x14ac:dyDescent="0.2">
      <c r="A517">
        <v>507</v>
      </c>
      <c r="B517">
        <v>1120158.593407891</v>
      </c>
      <c r="C517">
        <v>110198.7406003631</v>
      </c>
      <c r="D517">
        <v>138339.7134521096</v>
      </c>
      <c r="E517">
        <v>32160.566477071909</v>
      </c>
      <c r="F517">
        <v>38226.500756104979</v>
      </c>
      <c r="G517">
        <v>10000</v>
      </c>
      <c r="H517">
        <v>308925.52128564962</v>
      </c>
      <c r="I517">
        <v>34.242676646016037</v>
      </c>
    </row>
    <row r="518" spans="1:9" x14ac:dyDescent="0.2">
      <c r="A518">
        <v>508</v>
      </c>
      <c r="B518">
        <v>1604439.5794920903</v>
      </c>
      <c r="C518">
        <v>100782.48234621932</v>
      </c>
      <c r="D518">
        <v>160339.20662563149</v>
      </c>
      <c r="E518">
        <v>144522.01034413421</v>
      </c>
      <c r="F518">
        <v>46005.369946901599</v>
      </c>
      <c r="G518">
        <v>10000</v>
      </c>
      <c r="H518">
        <v>441649.06926288654</v>
      </c>
      <c r="I518">
        <v>28.015405985629755</v>
      </c>
    </row>
    <row r="519" spans="1:9" x14ac:dyDescent="0.2">
      <c r="A519">
        <v>509</v>
      </c>
      <c r="B519">
        <v>1268432.5025456804</v>
      </c>
      <c r="C519">
        <v>122292.73164854651</v>
      </c>
      <c r="D519">
        <v>96437.832684768699</v>
      </c>
      <c r="E519">
        <v>98043.721759950509</v>
      </c>
      <c r="F519">
        <v>42787.642275688879</v>
      </c>
      <c r="G519">
        <v>10000</v>
      </c>
      <c r="H519">
        <v>349561.92836895463</v>
      </c>
      <c r="I519">
        <v>37.73853873506485</v>
      </c>
    </row>
    <row r="520" spans="1:9" x14ac:dyDescent="0.2">
      <c r="A520">
        <v>510</v>
      </c>
      <c r="B520">
        <v>1649587.9338688354</v>
      </c>
      <c r="C520">
        <v>133559.3194248706</v>
      </c>
      <c r="D520">
        <v>75629.590825456617</v>
      </c>
      <c r="E520">
        <v>204664.57124001434</v>
      </c>
      <c r="F520">
        <v>50169.085701231765</v>
      </c>
      <c r="G520">
        <v>10000</v>
      </c>
      <c r="H520">
        <v>454022.56719157333</v>
      </c>
      <c r="I520">
        <v>50.990290779924052</v>
      </c>
    </row>
    <row r="521" spans="1:9" x14ac:dyDescent="0.2">
      <c r="A521">
        <v>511</v>
      </c>
      <c r="B521">
        <v>1047867.4058936943</v>
      </c>
      <c r="C521">
        <v>89583.817824369311</v>
      </c>
      <c r="D521">
        <v>67308.499441834429</v>
      </c>
      <c r="E521">
        <v>99343.247663742033</v>
      </c>
      <c r="F521">
        <v>42877.609453643679</v>
      </c>
      <c r="G521">
        <v>10000</v>
      </c>
      <c r="H521">
        <v>289113.17438358947</v>
      </c>
      <c r="I521">
        <v>27.514661090862894</v>
      </c>
    </row>
    <row r="522" spans="1:9" x14ac:dyDescent="0.2">
      <c r="A522">
        <v>512</v>
      </c>
      <c r="B522">
        <v>1609345.9184185732</v>
      </c>
      <c r="C522">
        <v>120167.50731617192</v>
      </c>
      <c r="D522">
        <v>151321.89100367372</v>
      </c>
      <c r="E522">
        <v>136083.17454249624</v>
      </c>
      <c r="F522">
        <v>45421.142852942045</v>
      </c>
      <c r="G522">
        <v>10000</v>
      </c>
      <c r="H522">
        <v>442993.71571528394</v>
      </c>
      <c r="I522">
        <v>35.128980061984166</v>
      </c>
    </row>
    <row r="523" spans="1:9" x14ac:dyDescent="0.2">
      <c r="A523">
        <v>513</v>
      </c>
      <c r="B523">
        <v>1393304.1225105608</v>
      </c>
      <c r="C523">
        <v>153849.07873911297</v>
      </c>
      <c r="D523">
        <v>63160.534981071025</v>
      </c>
      <c r="E523">
        <v>131660.08861862568</v>
      </c>
      <c r="F523">
        <v>45114.929212058698</v>
      </c>
      <c r="G523">
        <v>10000</v>
      </c>
      <c r="H523">
        <v>383784.63155086839</v>
      </c>
      <c r="I523">
        <v>41.842858167147789</v>
      </c>
    </row>
    <row r="524" spans="1:9" x14ac:dyDescent="0.2">
      <c r="A524">
        <v>514</v>
      </c>
      <c r="B524">
        <v>1059319.732426476</v>
      </c>
      <c r="C524">
        <v>84492.942627232624</v>
      </c>
      <c r="D524">
        <v>70614.618316964828</v>
      </c>
      <c r="E524">
        <v>103947.88173099123</v>
      </c>
      <c r="F524">
        <v>43196.39181214555</v>
      </c>
      <c r="G524">
        <v>10000</v>
      </c>
      <c r="H524">
        <v>292251.83448733424</v>
      </c>
      <c r="I524">
        <v>45.903276534378975</v>
      </c>
    </row>
    <row r="525" spans="1:9" x14ac:dyDescent="0.2">
      <c r="A525">
        <v>515</v>
      </c>
      <c r="B525">
        <v>1209234.7868130459</v>
      </c>
      <c r="C525">
        <v>133095.86502477809</v>
      </c>
      <c r="D525">
        <v>105190.0376676195</v>
      </c>
      <c r="E525">
        <v>64581.115899982928</v>
      </c>
      <c r="F525">
        <v>40471.000331537281</v>
      </c>
      <c r="G525">
        <v>10000</v>
      </c>
      <c r="H525">
        <v>333338.01892391779</v>
      </c>
      <c r="I525">
        <v>33.163930295497266</v>
      </c>
    </row>
    <row r="526" spans="1:9" x14ac:dyDescent="0.2">
      <c r="A526">
        <v>516</v>
      </c>
      <c r="B526">
        <v>1413890.1301225135</v>
      </c>
      <c r="C526">
        <v>101753.95030207104</v>
      </c>
      <c r="D526">
        <v>106494.16415351556</v>
      </c>
      <c r="E526">
        <v>145130.86099759463</v>
      </c>
      <c r="F526">
        <v>46047.521145987324</v>
      </c>
      <c r="G526">
        <v>10000</v>
      </c>
      <c r="H526">
        <v>389426.49659916852</v>
      </c>
      <c r="I526">
        <v>33.731747989563132</v>
      </c>
    </row>
    <row r="527" spans="1:9" x14ac:dyDescent="0.2">
      <c r="A527">
        <v>517</v>
      </c>
      <c r="B527">
        <v>1068077.8194122345</v>
      </c>
      <c r="C527">
        <v>77259.341697092052</v>
      </c>
      <c r="D527">
        <v>74547.411346596346</v>
      </c>
      <c r="E527">
        <v>109279.82365391908</v>
      </c>
      <c r="F527">
        <v>43565.526252963631</v>
      </c>
      <c r="G527">
        <v>10000</v>
      </c>
      <c r="H527">
        <v>294652.1029505711</v>
      </c>
      <c r="I527">
        <v>42.750985686457504</v>
      </c>
    </row>
    <row r="528" spans="1:9" x14ac:dyDescent="0.2">
      <c r="A528">
        <v>518</v>
      </c>
      <c r="B528">
        <v>1526481.6022122984</v>
      </c>
      <c r="C528">
        <v>97741.489081314096</v>
      </c>
      <c r="D528">
        <v>112395.56628037291</v>
      </c>
      <c r="E528">
        <v>172223.44729696738</v>
      </c>
      <c r="F528">
        <v>47923.161735943897</v>
      </c>
      <c r="G528">
        <v>10000</v>
      </c>
      <c r="H528">
        <v>420283.66439459822</v>
      </c>
      <c r="I528">
        <v>25.251992804239094</v>
      </c>
    </row>
    <row r="529" spans="1:9" x14ac:dyDescent="0.2">
      <c r="A529">
        <v>519</v>
      </c>
      <c r="B529">
        <v>1018588.4670185775</v>
      </c>
      <c r="C529">
        <v>101983.49500713072</v>
      </c>
      <c r="D529">
        <v>119120.59785638862</v>
      </c>
      <c r="E529">
        <v>31784.349801543711</v>
      </c>
      <c r="F529">
        <v>38200.454986260716</v>
      </c>
      <c r="G529">
        <v>10000</v>
      </c>
      <c r="H529">
        <v>281088.89765132376</v>
      </c>
      <c r="I529">
        <v>28.210612388520957</v>
      </c>
    </row>
    <row r="530" spans="1:9" x14ac:dyDescent="0.2">
      <c r="A530">
        <v>520</v>
      </c>
      <c r="B530">
        <v>1337270.5203936279</v>
      </c>
      <c r="C530">
        <v>130336.48163720225</v>
      </c>
      <c r="D530">
        <v>123216.49913323477</v>
      </c>
      <c r="E530">
        <v>83120.417665667279</v>
      </c>
      <c r="F530">
        <v>41754.490453776962</v>
      </c>
      <c r="G530">
        <v>10000</v>
      </c>
      <c r="H530">
        <v>368427.88888988126</v>
      </c>
      <c r="I530">
        <v>41.397867102855287</v>
      </c>
    </row>
    <row r="531" spans="1:9" x14ac:dyDescent="0.2">
      <c r="A531">
        <v>521</v>
      </c>
      <c r="B531">
        <v>1168248.3876728343</v>
      </c>
      <c r="C531">
        <v>77474.233040715495</v>
      </c>
      <c r="D531">
        <v>55848.160693412203</v>
      </c>
      <c r="E531">
        <v>152242.87431372405</v>
      </c>
      <c r="F531">
        <v>46539.89129864244</v>
      </c>
      <c r="G531">
        <v>10000</v>
      </c>
      <c r="H531">
        <v>322105.15934649418</v>
      </c>
      <c r="I531">
        <v>26.4256368182199</v>
      </c>
    </row>
    <row r="532" spans="1:9" x14ac:dyDescent="0.2">
      <c r="A532">
        <v>522</v>
      </c>
      <c r="B532">
        <v>1285827.5644911898</v>
      </c>
      <c r="C532">
        <v>134496.78259402444</v>
      </c>
      <c r="D532">
        <v>109979.77088255977</v>
      </c>
      <c r="E532">
        <v>78423.406709441988</v>
      </c>
      <c r="F532">
        <v>41429.312772192141</v>
      </c>
      <c r="G532">
        <v>10000</v>
      </c>
      <c r="H532">
        <v>354329.27295821829</v>
      </c>
      <c r="I532">
        <v>44.534453006927166</v>
      </c>
    </row>
    <row r="533" spans="1:9" x14ac:dyDescent="0.2">
      <c r="A533">
        <v>523</v>
      </c>
      <c r="B533">
        <v>1121093.4767654743</v>
      </c>
      <c r="C533">
        <v>140403.44129167125</v>
      </c>
      <c r="D533">
        <v>70977.844371714833</v>
      </c>
      <c r="E533">
        <v>67151.502480965675</v>
      </c>
      <c r="F533">
        <v>40648.950171759163</v>
      </c>
      <c r="G533">
        <v>10000</v>
      </c>
      <c r="H533">
        <v>309181.73831611092</v>
      </c>
      <c r="I533">
        <v>41.867491486682113</v>
      </c>
    </row>
    <row r="534" spans="1:9" x14ac:dyDescent="0.2">
      <c r="A534">
        <v>524</v>
      </c>
      <c r="B534">
        <v>1464663.0800033004</v>
      </c>
      <c r="C534">
        <v>140478.62269162532</v>
      </c>
      <c r="D534">
        <v>27495.771359684906</v>
      </c>
      <c r="E534">
        <v>195810.95173991597</v>
      </c>
      <c r="F534">
        <v>49556.142812763414</v>
      </c>
      <c r="G534">
        <v>10000</v>
      </c>
      <c r="H534">
        <v>403341.48860398959</v>
      </c>
      <c r="I534">
        <v>31.180673380021844</v>
      </c>
    </row>
    <row r="535" spans="1:9" x14ac:dyDescent="0.2">
      <c r="A535">
        <v>525</v>
      </c>
      <c r="B535">
        <v>1251043.7426651095</v>
      </c>
      <c r="C535">
        <v>110050.3094975298</v>
      </c>
      <c r="D535">
        <v>140402.36564452836</v>
      </c>
      <c r="E535">
        <v>63918.508303169932</v>
      </c>
      <c r="F535">
        <v>40425.127497911759</v>
      </c>
      <c r="G535">
        <v>10000</v>
      </c>
      <c r="H535">
        <v>344796.31094313983</v>
      </c>
      <c r="I535">
        <v>30.875139755781795</v>
      </c>
    </row>
    <row r="536" spans="1:9" x14ac:dyDescent="0.2">
      <c r="A536">
        <v>526</v>
      </c>
      <c r="B536">
        <v>1187942.4306846196</v>
      </c>
      <c r="C536">
        <v>101880.91683013804</v>
      </c>
      <c r="D536">
        <v>60857.95377351917</v>
      </c>
      <c r="E536">
        <v>129778.99925960909</v>
      </c>
      <c r="F536">
        <v>44984.699948742164</v>
      </c>
      <c r="G536">
        <v>10000</v>
      </c>
      <c r="H536">
        <v>327502.56981200847</v>
      </c>
      <c r="I536">
        <v>30.276799077744485</v>
      </c>
    </row>
    <row r="537" spans="1:9" x14ac:dyDescent="0.2">
      <c r="A537">
        <v>527</v>
      </c>
      <c r="B537">
        <v>1253159.521739017</v>
      </c>
      <c r="C537">
        <v>111409.03289924498</v>
      </c>
      <c r="D537">
        <v>83382.899753174046</v>
      </c>
      <c r="E537">
        <v>116517.63010035176</v>
      </c>
      <c r="F537">
        <v>44066.605160793588</v>
      </c>
      <c r="G537">
        <v>10000</v>
      </c>
      <c r="H537">
        <v>345376.16791356436</v>
      </c>
      <c r="I537">
        <v>38.718564541456772</v>
      </c>
    </row>
    <row r="538" spans="1:9" x14ac:dyDescent="0.2">
      <c r="A538">
        <v>528</v>
      </c>
      <c r="B538">
        <v>1139270.3685067266</v>
      </c>
      <c r="C538">
        <v>121643.53539225966</v>
      </c>
      <c r="D538">
        <v>129342.83760420363</v>
      </c>
      <c r="E538">
        <v>34769.83797669995</v>
      </c>
      <c r="F538">
        <v>38407.142629156144</v>
      </c>
      <c r="G538">
        <v>10000</v>
      </c>
      <c r="H538">
        <v>314163.35360231932</v>
      </c>
      <c r="I538">
        <v>39.489410318870661</v>
      </c>
    </row>
    <row r="539" spans="1:9" x14ac:dyDescent="0.2">
      <c r="A539">
        <v>529</v>
      </c>
      <c r="B539">
        <v>1532268.0811790915</v>
      </c>
      <c r="C539">
        <v>113957.75528919179</v>
      </c>
      <c r="D539">
        <v>65577.73265394698</v>
      </c>
      <c r="E539">
        <v>202326.79701759465</v>
      </c>
      <c r="F539">
        <v>50007.239793525783</v>
      </c>
      <c r="G539">
        <v>10000</v>
      </c>
      <c r="H539">
        <v>421869.52475425915</v>
      </c>
      <c r="I539">
        <v>35.856313442319461</v>
      </c>
    </row>
    <row r="540" spans="1:9" x14ac:dyDescent="0.2">
      <c r="A540">
        <v>530</v>
      </c>
      <c r="B540">
        <v>1434020.5384078452</v>
      </c>
      <c r="C540">
        <v>116444.88720816583</v>
      </c>
      <c r="D540">
        <v>106171.25745391648</v>
      </c>
      <c r="E540">
        <v>136852.92102767125</v>
      </c>
      <c r="F540">
        <v>45474.432994223389</v>
      </c>
      <c r="G540">
        <v>10000</v>
      </c>
      <c r="H540">
        <v>394943.49868397694</v>
      </c>
      <c r="I540">
        <v>30.614844092039029</v>
      </c>
    </row>
    <row r="541" spans="1:9" x14ac:dyDescent="0.2">
      <c r="A541">
        <v>531</v>
      </c>
      <c r="B541">
        <v>1196318.5955332038</v>
      </c>
      <c r="C541">
        <v>133030.55763977216</v>
      </c>
      <c r="D541">
        <v>111993.44831344394</v>
      </c>
      <c r="E541">
        <v>54968.640305505171</v>
      </c>
      <c r="F541">
        <v>39805.521251919592</v>
      </c>
      <c r="G541">
        <v>10000</v>
      </c>
      <c r="H541">
        <v>329798.16751064092</v>
      </c>
      <c r="I541">
        <v>53.428335078103792</v>
      </c>
    </row>
    <row r="542" spans="1:9" x14ac:dyDescent="0.2">
      <c r="A542">
        <v>532</v>
      </c>
      <c r="B542">
        <v>1063873.2914304361</v>
      </c>
      <c r="C542">
        <v>114349.1128579347</v>
      </c>
      <c r="D542">
        <v>104413.47708048986</v>
      </c>
      <c r="E542">
        <v>45581.560543224121</v>
      </c>
      <c r="F542">
        <v>39155.646499146285</v>
      </c>
      <c r="G542">
        <v>10000</v>
      </c>
      <c r="H542">
        <v>293499.79698079498</v>
      </c>
      <c r="I542">
        <v>48.253844197816953</v>
      </c>
    </row>
    <row r="543" spans="1:9" x14ac:dyDescent="0.2">
      <c r="A543">
        <v>533</v>
      </c>
      <c r="B543">
        <v>1215346.7868624972</v>
      </c>
      <c r="C543">
        <v>114698.08432834235</v>
      </c>
      <c r="D543">
        <v>136828.70727112613</v>
      </c>
      <c r="E543">
        <v>53764.166403729192</v>
      </c>
      <c r="F543">
        <v>39722.134597181255</v>
      </c>
      <c r="G543">
        <v>10000</v>
      </c>
      <c r="H543">
        <v>335013.09260037891</v>
      </c>
      <c r="I543">
        <v>50.10915907341785</v>
      </c>
    </row>
    <row r="544" spans="1:9" x14ac:dyDescent="0.2">
      <c r="A544">
        <v>534</v>
      </c>
      <c r="B544">
        <v>1460509.6000005873</v>
      </c>
      <c r="C544">
        <v>83521.203344100926</v>
      </c>
      <c r="D544">
        <v>99491.152345634095</v>
      </c>
      <c r="E544">
        <v>180682.05935639661</v>
      </c>
      <c r="F544">
        <v>48508.757955442845</v>
      </c>
      <c r="G544">
        <v>10000</v>
      </c>
      <c r="H544">
        <v>402203.17300157447</v>
      </c>
      <c r="I544">
        <v>41.428912553728708</v>
      </c>
    </row>
    <row r="545" spans="1:9" x14ac:dyDescent="0.2">
      <c r="A545">
        <v>535</v>
      </c>
      <c r="B545">
        <v>1181661.0982936826</v>
      </c>
      <c r="C545">
        <v>110876.29916940343</v>
      </c>
      <c r="D545">
        <v>154743.63732765711</v>
      </c>
      <c r="E545">
        <v>31949.278748070825</v>
      </c>
      <c r="F545">
        <v>38211.873144097211</v>
      </c>
      <c r="G545">
        <v>10000</v>
      </c>
      <c r="H545">
        <v>325781.08838922856</v>
      </c>
      <c r="I545">
        <v>32.35573369149057</v>
      </c>
    </row>
    <row r="546" spans="1:9" x14ac:dyDescent="0.2">
      <c r="A546">
        <v>536</v>
      </c>
      <c r="B546">
        <v>1467427.4569853162</v>
      </c>
      <c r="C546">
        <v>146689.7809058998</v>
      </c>
      <c r="D546">
        <v>34424.946283492449</v>
      </c>
      <c r="E546">
        <v>184229.9911361805</v>
      </c>
      <c r="F546">
        <v>48754.384001735576</v>
      </c>
      <c r="G546">
        <v>10000</v>
      </c>
      <c r="H546">
        <v>404099.10232730838</v>
      </c>
      <c r="I546">
        <v>33.597417547773809</v>
      </c>
    </row>
    <row r="547" spans="1:9" x14ac:dyDescent="0.2">
      <c r="A547">
        <v>537</v>
      </c>
      <c r="B547">
        <v>950579.16429545684</v>
      </c>
      <c r="C547">
        <v>113864.28418437496</v>
      </c>
      <c r="D547">
        <v>75209.454479870139</v>
      </c>
      <c r="E547">
        <v>44308.787274968388</v>
      </c>
      <c r="F547">
        <v>39067.531426728579</v>
      </c>
      <c r="G547">
        <v>10000</v>
      </c>
      <c r="H547">
        <v>262450.05736594211</v>
      </c>
      <c r="I547">
        <v>39.627192117964853</v>
      </c>
    </row>
    <row r="548" spans="1:9" x14ac:dyDescent="0.2">
      <c r="A548">
        <v>538</v>
      </c>
      <c r="B548">
        <v>767306.73550666962</v>
      </c>
      <c r="C548">
        <v>92151.344326083257</v>
      </c>
      <c r="D548">
        <v>47555.47030298091</v>
      </c>
      <c r="E548">
        <v>43503.268167870934</v>
      </c>
      <c r="F548">
        <v>39011.764719314138</v>
      </c>
      <c r="G548">
        <v>10000</v>
      </c>
      <c r="H548">
        <v>212221.84751624925</v>
      </c>
      <c r="I548">
        <v>33.873087621699725</v>
      </c>
    </row>
    <row r="549" spans="1:9" x14ac:dyDescent="0.2">
      <c r="A549">
        <v>539</v>
      </c>
      <c r="B549">
        <v>1510910.9224315095</v>
      </c>
      <c r="C549">
        <v>139277.67382429514</v>
      </c>
      <c r="D549">
        <v>69112.413256464235</v>
      </c>
      <c r="E549">
        <v>169866.2569218883</v>
      </c>
      <c r="F549">
        <v>47759.971633053807</v>
      </c>
      <c r="G549">
        <v>10000</v>
      </c>
      <c r="H549">
        <v>416016.31563570147</v>
      </c>
      <c r="I549">
        <v>29.562229759296681</v>
      </c>
    </row>
    <row r="550" spans="1:9" x14ac:dyDescent="0.2">
      <c r="A550">
        <v>540</v>
      </c>
      <c r="B550">
        <v>1852479.1439771517</v>
      </c>
      <c r="C550">
        <v>142175.73536008626</v>
      </c>
      <c r="D550">
        <v>140666.93928607163</v>
      </c>
      <c r="E550">
        <v>187784.42613696383</v>
      </c>
      <c r="F550">
        <v>49000.460271020573</v>
      </c>
      <c r="G550">
        <v>10000</v>
      </c>
      <c r="H550">
        <v>509627.56105414231</v>
      </c>
      <c r="I550">
        <v>49.956784443526949</v>
      </c>
    </row>
    <row r="551" spans="1:9" x14ac:dyDescent="0.2">
      <c r="A551">
        <v>541</v>
      </c>
      <c r="B551">
        <v>896288.58269113814</v>
      </c>
      <c r="C551">
        <v>106318.56333185625</v>
      </c>
      <c r="D551">
        <v>62780.474004756819</v>
      </c>
      <c r="E551">
        <v>49074.508966776426</v>
      </c>
      <c r="F551">
        <v>39397.466005392213</v>
      </c>
      <c r="G551">
        <v>10000</v>
      </c>
      <c r="H551">
        <v>247571.01230878168</v>
      </c>
      <c r="I551">
        <v>31.8670125132927</v>
      </c>
    </row>
    <row r="552" spans="1:9" x14ac:dyDescent="0.2">
      <c r="A552">
        <v>542</v>
      </c>
      <c r="B552">
        <v>1083764.8428293024</v>
      </c>
      <c r="C552">
        <v>99140.32022015845</v>
      </c>
      <c r="D552">
        <v>60738.083957611729</v>
      </c>
      <c r="E552">
        <v>105751.66398418116</v>
      </c>
      <c r="F552">
        <v>43321.269045058696</v>
      </c>
      <c r="G552">
        <v>10000</v>
      </c>
      <c r="H552">
        <v>298951.33720701007</v>
      </c>
      <c r="I552">
        <v>27.84182564044508</v>
      </c>
    </row>
    <row r="553" spans="1:9" x14ac:dyDescent="0.2">
      <c r="A553">
        <v>543</v>
      </c>
      <c r="B553">
        <v>1253427.5330568531</v>
      </c>
      <c r="C553">
        <v>155659.29186022861</v>
      </c>
      <c r="D553">
        <v>56876.719790637653</v>
      </c>
      <c r="E553">
        <v>99991.144429960157</v>
      </c>
      <c r="F553">
        <v>42922.463845151091</v>
      </c>
      <c r="G553">
        <v>10000</v>
      </c>
      <c r="H553">
        <v>345449.61992597749</v>
      </c>
      <c r="I553">
        <v>32.604556444433449</v>
      </c>
    </row>
    <row r="554" spans="1:9" x14ac:dyDescent="0.2">
      <c r="A554">
        <v>544</v>
      </c>
      <c r="B554">
        <v>1152701.0062367576</v>
      </c>
      <c r="C554">
        <v>98184.175779541489</v>
      </c>
      <c r="D554">
        <v>62963.281197380595</v>
      </c>
      <c r="E554">
        <v>122234.36005424928</v>
      </c>
      <c r="F554">
        <v>44462.378772986485</v>
      </c>
      <c r="G554">
        <v>10000</v>
      </c>
      <c r="H554">
        <v>317844.19580415782</v>
      </c>
      <c r="I554">
        <v>34.434867541959832</v>
      </c>
    </row>
    <row r="555" spans="1:9" x14ac:dyDescent="0.2">
      <c r="A555">
        <v>545</v>
      </c>
      <c r="B555">
        <v>1084005.9777025811</v>
      </c>
      <c r="C555">
        <v>114958.71876755686</v>
      </c>
      <c r="D555">
        <v>41300.701741047837</v>
      </c>
      <c r="E555">
        <v>109198.13217975707</v>
      </c>
      <c r="F555">
        <v>43559.870689367795</v>
      </c>
      <c r="G555">
        <v>10000</v>
      </c>
      <c r="H555">
        <v>299017.4233777296</v>
      </c>
      <c r="I555">
        <v>29.593493481724622</v>
      </c>
    </row>
    <row r="556" spans="1:9" x14ac:dyDescent="0.2">
      <c r="A556">
        <v>546</v>
      </c>
      <c r="B556">
        <v>1127108.6958504454</v>
      </c>
      <c r="C556">
        <v>84145.769953075869</v>
      </c>
      <c r="D556">
        <v>128994.2602481254</v>
      </c>
      <c r="E556">
        <v>67048.442453510623</v>
      </c>
      <c r="F556">
        <v>40641.815246781502</v>
      </c>
      <c r="G556">
        <v>10000</v>
      </c>
      <c r="H556">
        <v>310830.28790149343</v>
      </c>
      <c r="I556">
        <v>33.866095642628977</v>
      </c>
    </row>
    <row r="557" spans="1:9" x14ac:dyDescent="0.2">
      <c r="A557">
        <v>547</v>
      </c>
      <c r="B557">
        <v>800630.17621875973</v>
      </c>
      <c r="C557">
        <v>73896.94582286806</v>
      </c>
      <c r="D557">
        <v>79640.026617461772</v>
      </c>
      <c r="E557">
        <v>39109.986094794505</v>
      </c>
      <c r="F557">
        <v>38707.614421947306</v>
      </c>
      <c r="G557">
        <v>10000</v>
      </c>
      <c r="H557">
        <v>221354.57295707165</v>
      </c>
      <c r="I557">
        <v>34.94317726857102</v>
      </c>
    </row>
    <row r="558" spans="1:9" x14ac:dyDescent="0.2">
      <c r="A558">
        <v>548</v>
      </c>
      <c r="B558">
        <v>1107001.8454745924</v>
      </c>
      <c r="C558">
        <v>114027.36406255131</v>
      </c>
      <c r="D558">
        <v>55782.165153416703</v>
      </c>
      <c r="E558">
        <v>102419.62362641889</v>
      </c>
      <c r="F558">
        <v>43090.589327982845</v>
      </c>
      <c r="G558">
        <v>10000</v>
      </c>
      <c r="H558">
        <v>305319.74217036978</v>
      </c>
      <c r="I558">
        <v>28.356260934344903</v>
      </c>
    </row>
    <row r="559" spans="1:9" x14ac:dyDescent="0.2">
      <c r="A559">
        <v>549</v>
      </c>
      <c r="B559">
        <v>1747691.7284975385</v>
      </c>
      <c r="C559">
        <v>134306.02235600003</v>
      </c>
      <c r="D559">
        <v>149771.239836216</v>
      </c>
      <c r="E559">
        <v>159770.87446807814</v>
      </c>
      <c r="F559">
        <v>47061.060540097715</v>
      </c>
      <c r="G559">
        <v>10000</v>
      </c>
      <c r="H559">
        <v>480909.19720039185</v>
      </c>
      <c r="I559">
        <v>45.922142522097822</v>
      </c>
    </row>
    <row r="560" spans="1:9" x14ac:dyDescent="0.2">
      <c r="A560">
        <v>550</v>
      </c>
      <c r="B560">
        <v>1744912.1395046846</v>
      </c>
      <c r="C560">
        <v>127144.78944002205</v>
      </c>
      <c r="D560">
        <v>136302.68494779803</v>
      </c>
      <c r="E560">
        <v>178352.46190643226</v>
      </c>
      <c r="F560">
        <v>48347.478131983771</v>
      </c>
      <c r="G560">
        <v>10000</v>
      </c>
      <c r="H560">
        <v>480147.41442623618</v>
      </c>
      <c r="I560">
        <v>33.691212879078925</v>
      </c>
    </row>
    <row r="561" spans="1:9" x14ac:dyDescent="0.2">
      <c r="A561">
        <v>551</v>
      </c>
      <c r="B561">
        <v>900177.93766301323</v>
      </c>
      <c r="C561">
        <v>125767.0973429781</v>
      </c>
      <c r="D561">
        <v>44080.610087099725</v>
      </c>
      <c r="E561">
        <v>49371.225628442313</v>
      </c>
      <c r="F561">
        <v>39418.007928122926</v>
      </c>
      <c r="G561">
        <v>10000</v>
      </c>
      <c r="H561">
        <v>248636.94098664308</v>
      </c>
      <c r="I561">
        <v>37.404080479675194</v>
      </c>
    </row>
    <row r="562" spans="1:9" x14ac:dyDescent="0.2">
      <c r="A562">
        <v>552</v>
      </c>
      <c r="B562">
        <v>913031.85240950237</v>
      </c>
      <c r="C562">
        <v>86026.236104068172</v>
      </c>
      <c r="D562">
        <v>73106.551639658079</v>
      </c>
      <c r="E562">
        <v>62687.063340564302</v>
      </c>
      <c r="F562">
        <v>40339.873615885219</v>
      </c>
      <c r="G562">
        <v>10000</v>
      </c>
      <c r="H562">
        <v>252159.72470017575</v>
      </c>
      <c r="I562">
        <v>37.199837382225532</v>
      </c>
    </row>
    <row r="563" spans="1:9" x14ac:dyDescent="0.2">
      <c r="A563">
        <v>553</v>
      </c>
      <c r="B563">
        <v>1608662.2366359932</v>
      </c>
      <c r="C563">
        <v>117296.03024840681</v>
      </c>
      <c r="D563">
        <v>173060.85497965786</v>
      </c>
      <c r="E563">
        <v>118262.08352563847</v>
      </c>
      <c r="F563">
        <v>44187.375013313431</v>
      </c>
      <c r="G563">
        <v>10000</v>
      </c>
      <c r="H563">
        <v>442806.3437670166</v>
      </c>
      <c r="I563">
        <v>33.359443329705272</v>
      </c>
    </row>
    <row r="564" spans="1:9" x14ac:dyDescent="0.2">
      <c r="A564">
        <v>554</v>
      </c>
      <c r="B564">
        <v>1098660.6327710641</v>
      </c>
      <c r="C564">
        <v>134610.85004519948</v>
      </c>
      <c r="D564">
        <v>114298.01608612858</v>
      </c>
      <c r="E564">
        <v>26303.823499060134</v>
      </c>
      <c r="F564">
        <v>37821.033934550316</v>
      </c>
      <c r="G564">
        <v>10000</v>
      </c>
      <c r="H564">
        <v>303033.72356493847</v>
      </c>
      <c r="I564">
        <v>28.570989532143265</v>
      </c>
    </row>
    <row r="565" spans="1:9" x14ac:dyDescent="0.2">
      <c r="A565">
        <v>555</v>
      </c>
      <c r="B565">
        <v>1554832.7170207924</v>
      </c>
      <c r="C565">
        <v>78608.610205497433</v>
      </c>
      <c r="D565">
        <v>138722.53188311227</v>
      </c>
      <c r="E565">
        <v>172762.06597743757</v>
      </c>
      <c r="F565">
        <v>47960.450721514913</v>
      </c>
      <c r="G565">
        <v>10000</v>
      </c>
      <c r="H565">
        <v>428053.65878756222</v>
      </c>
      <c r="I565">
        <v>34.442026424414962</v>
      </c>
    </row>
    <row r="566" spans="1:9" x14ac:dyDescent="0.2">
      <c r="A566">
        <v>556</v>
      </c>
      <c r="B566">
        <v>1687715.6269154125</v>
      </c>
      <c r="C566">
        <v>160855.36088290537</v>
      </c>
      <c r="D566">
        <v>85196.941819736952</v>
      </c>
      <c r="E566">
        <v>179960.83142349418</v>
      </c>
      <c r="F566">
        <v>48458.826790857289</v>
      </c>
      <c r="G566">
        <v>10000</v>
      </c>
      <c r="H566">
        <v>464471.96091699385</v>
      </c>
      <c r="I566">
        <v>48.221006510709124</v>
      </c>
    </row>
    <row r="567" spans="1:9" x14ac:dyDescent="0.2">
      <c r="A567">
        <v>557</v>
      </c>
      <c r="B567">
        <v>1480347.2073784266</v>
      </c>
      <c r="C567">
        <v>99732.933065153571</v>
      </c>
      <c r="D567">
        <v>68636.550738659585</v>
      </c>
      <c r="E567">
        <v>199461.56760136739</v>
      </c>
      <c r="F567">
        <v>49808.877757017748</v>
      </c>
      <c r="G567">
        <v>10000</v>
      </c>
      <c r="H567">
        <v>407639.92916219833</v>
      </c>
      <c r="I567">
        <v>47.605750356061662</v>
      </c>
    </row>
    <row r="568" spans="1:9" x14ac:dyDescent="0.2">
      <c r="A568">
        <v>558</v>
      </c>
      <c r="B568">
        <v>1340854.9799279766</v>
      </c>
      <c r="C568">
        <v>95660.455690086732</v>
      </c>
      <c r="D568">
        <v>112195.68125457015</v>
      </c>
      <c r="E568">
        <v>126777.23456465485</v>
      </c>
      <c r="F568">
        <v>44776.885469860717</v>
      </c>
      <c r="G568">
        <v>10000</v>
      </c>
      <c r="H568">
        <v>369410.25697917247</v>
      </c>
      <c r="I568">
        <v>27.741303661277826</v>
      </c>
    </row>
    <row r="569" spans="1:9" x14ac:dyDescent="0.2">
      <c r="A569">
        <v>559</v>
      </c>
      <c r="B569">
        <v>1018926.1353836155</v>
      </c>
      <c r="C569">
        <v>148442.31129771791</v>
      </c>
      <c r="D569">
        <v>59484.360811715771</v>
      </c>
      <c r="E569">
        <v>44195.106744396675</v>
      </c>
      <c r="F569">
        <v>39059.661236150539</v>
      </c>
      <c r="G569">
        <v>10000</v>
      </c>
      <c r="H569">
        <v>281181.4400899809</v>
      </c>
      <c r="I569">
        <v>41.403329250240915</v>
      </c>
    </row>
    <row r="570" spans="1:9" x14ac:dyDescent="0.2">
      <c r="A570">
        <v>560</v>
      </c>
      <c r="B570">
        <v>1105044.4563054014</v>
      </c>
      <c r="C570">
        <v>95380.216532028033</v>
      </c>
      <c r="D570">
        <v>88434.086085531715</v>
      </c>
      <c r="E570">
        <v>88819.920024273655</v>
      </c>
      <c r="F570">
        <v>42149.071386295873</v>
      </c>
      <c r="G570">
        <v>10000</v>
      </c>
      <c r="H570">
        <v>304783.29402812925</v>
      </c>
      <c r="I570">
        <v>41.849839429995725</v>
      </c>
    </row>
    <row r="571" spans="1:9" x14ac:dyDescent="0.2">
      <c r="A571">
        <v>561</v>
      </c>
      <c r="B571">
        <v>1092377.700360659</v>
      </c>
      <c r="C571">
        <v>99196.676826413925</v>
      </c>
      <c r="D571">
        <v>94113.041366811027</v>
      </c>
      <c r="E571">
        <v>76692.59789599356</v>
      </c>
      <c r="F571">
        <v>41309.487546645702</v>
      </c>
      <c r="G571">
        <v>10000</v>
      </c>
      <c r="H571">
        <v>301311.80363586417</v>
      </c>
      <c r="I571">
        <v>57.194905915332356</v>
      </c>
    </row>
    <row r="572" spans="1:9" x14ac:dyDescent="0.2">
      <c r="A572">
        <v>562</v>
      </c>
      <c r="B572">
        <v>1299366.9000768492</v>
      </c>
      <c r="C572">
        <v>128665.7357460901</v>
      </c>
      <c r="D572">
        <v>93688.556250880967</v>
      </c>
      <c r="E572">
        <v>102583.66705364904</v>
      </c>
      <c r="F572">
        <v>43101.946180637242</v>
      </c>
      <c r="G572">
        <v>10000</v>
      </c>
      <c r="H572">
        <v>358039.90523125732</v>
      </c>
      <c r="I572">
        <v>25.401491684039463</v>
      </c>
    </row>
    <row r="573" spans="1:9" x14ac:dyDescent="0.2">
      <c r="A573">
        <v>563</v>
      </c>
      <c r="B573">
        <v>1073928.2216775646</v>
      </c>
      <c r="C573">
        <v>111801.05825943816</v>
      </c>
      <c r="D573">
        <v>65944.149051298547</v>
      </c>
      <c r="E573">
        <v>86520.401094857953</v>
      </c>
      <c r="F573">
        <v>41989.873921951701</v>
      </c>
      <c r="G573">
        <v>10000</v>
      </c>
      <c r="H573">
        <v>296255.48232754634</v>
      </c>
      <c r="I573">
        <v>39.159122450111468</v>
      </c>
    </row>
    <row r="574" spans="1:9" x14ac:dyDescent="0.2">
      <c r="A574">
        <v>564</v>
      </c>
      <c r="B574">
        <v>1559504.7761004623</v>
      </c>
      <c r="C574">
        <v>120719.46042222997</v>
      </c>
      <c r="D574">
        <v>95993.88795813045</v>
      </c>
      <c r="E574">
        <v>174537.39152394413</v>
      </c>
      <c r="F574">
        <v>48083.357874734589</v>
      </c>
      <c r="G574">
        <v>10000</v>
      </c>
      <c r="H574">
        <v>429334.09777903906</v>
      </c>
      <c r="I574">
        <v>29.616240390302778</v>
      </c>
    </row>
    <row r="575" spans="1:9" x14ac:dyDescent="0.2">
      <c r="A575">
        <v>565</v>
      </c>
      <c r="B575">
        <v>1036856.7589870696</v>
      </c>
      <c r="C575">
        <v>96208.577800606639</v>
      </c>
      <c r="D575">
        <v>107933.29523122596</v>
      </c>
      <c r="E575">
        <v>52330.788586927694</v>
      </c>
      <c r="F575">
        <v>39622.900748325759</v>
      </c>
      <c r="G575">
        <v>10000</v>
      </c>
      <c r="H575">
        <v>286095.56236708607</v>
      </c>
      <c r="I575">
        <v>34.37115282254554</v>
      </c>
    </row>
    <row r="576" spans="1:9" x14ac:dyDescent="0.2">
      <c r="A576">
        <v>566</v>
      </c>
      <c r="B576">
        <v>1511334.3902198258</v>
      </c>
      <c r="C576">
        <v>120954.27137277448</v>
      </c>
      <c r="D576">
        <v>97087.504985915002</v>
      </c>
      <c r="E576">
        <v>160948.03958488483</v>
      </c>
      <c r="F576">
        <v>47142.556586645871</v>
      </c>
      <c r="G576">
        <v>10000</v>
      </c>
      <c r="H576">
        <v>416132.37253022019</v>
      </c>
      <c r="I576">
        <v>55.499738758582524</v>
      </c>
    </row>
    <row r="577" spans="1:9" x14ac:dyDescent="0.2">
      <c r="A577">
        <v>567</v>
      </c>
      <c r="B577">
        <v>1060624.5982895936</v>
      </c>
      <c r="C577">
        <v>83767.287556001218</v>
      </c>
      <c r="D577">
        <v>131818.34654332304</v>
      </c>
      <c r="E577">
        <v>47720.115655979171</v>
      </c>
      <c r="F577">
        <v>39303.700314644717</v>
      </c>
      <c r="G577">
        <v>10000</v>
      </c>
      <c r="H577">
        <v>292609.45006994816</v>
      </c>
      <c r="I577">
        <v>32.241945221166731</v>
      </c>
    </row>
    <row r="578" spans="1:9" x14ac:dyDescent="0.2">
      <c r="A578">
        <v>568</v>
      </c>
      <c r="B578">
        <v>1188320.7408014266</v>
      </c>
      <c r="C578">
        <v>160074.62335192901</v>
      </c>
      <c r="D578">
        <v>70184.294401080842</v>
      </c>
      <c r="E578">
        <v>66727.721419236361</v>
      </c>
      <c r="F578">
        <v>40619.611482870205</v>
      </c>
      <c r="G578">
        <v>10000</v>
      </c>
      <c r="H578">
        <v>327606.2506551164</v>
      </c>
      <c r="I578">
        <v>44.676243139574851</v>
      </c>
    </row>
    <row r="579" spans="1:9" x14ac:dyDescent="0.2">
      <c r="A579">
        <v>569</v>
      </c>
      <c r="B579">
        <v>933021.55689955293</v>
      </c>
      <c r="C579">
        <v>146657.67162021433</v>
      </c>
      <c r="D579">
        <v>53125.738448807475</v>
      </c>
      <c r="E579">
        <v>29792.216904365512</v>
      </c>
      <c r="F579">
        <v>38062.538093379153</v>
      </c>
      <c r="G579">
        <v>10000</v>
      </c>
      <c r="H579">
        <v>257638.16506676649</v>
      </c>
      <c r="I579">
        <v>39.169978805184535</v>
      </c>
    </row>
    <row r="580" spans="1:9" x14ac:dyDescent="0.2">
      <c r="A580">
        <v>570</v>
      </c>
      <c r="B580">
        <v>1561220.4009028636</v>
      </c>
      <c r="C580">
        <v>110977.81421178623</v>
      </c>
      <c r="D580">
        <v>107385.98802784154</v>
      </c>
      <c r="E580">
        <v>173433.54711293991</v>
      </c>
      <c r="F580">
        <v>48006.937877049684</v>
      </c>
      <c r="G580">
        <v>10000</v>
      </c>
      <c r="H580">
        <v>429804.28722961736</v>
      </c>
      <c r="I580">
        <v>44.197683868976839</v>
      </c>
    </row>
    <row r="581" spans="1:9" x14ac:dyDescent="0.2">
      <c r="A581">
        <v>571</v>
      </c>
      <c r="B581">
        <v>1260593.6178314283</v>
      </c>
      <c r="C581">
        <v>135056.3447100512</v>
      </c>
      <c r="D581">
        <v>90514.104229833174</v>
      </c>
      <c r="E581">
        <v>89637.460076271425</v>
      </c>
      <c r="F581">
        <v>42205.670312972637</v>
      </c>
      <c r="G581">
        <v>10000</v>
      </c>
      <c r="H581">
        <v>347413.57932912844</v>
      </c>
      <c r="I581">
        <v>34.284262214363039</v>
      </c>
    </row>
    <row r="582" spans="1:9" x14ac:dyDescent="0.2">
      <c r="A582">
        <v>572</v>
      </c>
      <c r="B582">
        <v>887367.94009400206</v>
      </c>
      <c r="C582">
        <v>107127.71485541966</v>
      </c>
      <c r="D582">
        <v>44205.353894994005</v>
      </c>
      <c r="E582">
        <v>63403.64171266865</v>
      </c>
      <c r="F582">
        <v>40389.482887800135</v>
      </c>
      <c r="G582">
        <v>10000</v>
      </c>
      <c r="H582">
        <v>245126.19335088244</v>
      </c>
      <c r="I582">
        <v>41.435357500621762</v>
      </c>
    </row>
    <row r="583" spans="1:9" x14ac:dyDescent="0.2">
      <c r="A583">
        <v>573</v>
      </c>
      <c r="B583">
        <v>1388519.3474405403</v>
      </c>
      <c r="C583">
        <v>94655.191335997559</v>
      </c>
      <c r="D583">
        <v>135686.05414424394</v>
      </c>
      <c r="E583">
        <v>117965.23202959885</v>
      </c>
      <c r="F583">
        <v>44166.823755895311</v>
      </c>
      <c r="G583">
        <v>10000</v>
      </c>
      <c r="H583">
        <v>382473.30126573564</v>
      </c>
      <c r="I583">
        <v>39.819019612162172</v>
      </c>
    </row>
    <row r="584" spans="1:9" x14ac:dyDescent="0.2">
      <c r="A584">
        <v>574</v>
      </c>
      <c r="B584">
        <v>1364990.1147906627</v>
      </c>
      <c r="C584">
        <v>85702.119403306831</v>
      </c>
      <c r="D584">
        <v>50794.747166180699</v>
      </c>
      <c r="E584">
        <v>199702.39018256144</v>
      </c>
      <c r="F584">
        <v>49825.550089561941</v>
      </c>
      <c r="G584">
        <v>10000</v>
      </c>
      <c r="H584">
        <v>376024.80684161093</v>
      </c>
      <c r="I584">
        <v>30.235044076481756</v>
      </c>
    </row>
    <row r="585" spans="1:9" x14ac:dyDescent="0.2">
      <c r="A585">
        <v>575</v>
      </c>
      <c r="B585">
        <v>1578226.7165010655</v>
      </c>
      <c r="C585">
        <v>137985.68663821713</v>
      </c>
      <c r="D585">
        <v>59675.218893278092</v>
      </c>
      <c r="E585">
        <v>197154.99340732573</v>
      </c>
      <c r="F585">
        <v>49649.191851276395</v>
      </c>
      <c r="G585">
        <v>10000</v>
      </c>
      <c r="H585">
        <v>434465.09079009731</v>
      </c>
      <c r="I585">
        <v>32.270198235141279</v>
      </c>
    </row>
    <row r="586" spans="1:9" x14ac:dyDescent="0.2">
      <c r="A586">
        <v>576</v>
      </c>
      <c r="B586">
        <v>1551336.2685853657</v>
      </c>
      <c r="C586">
        <v>157910.42691010918</v>
      </c>
      <c r="D586">
        <v>104671.42657636531</v>
      </c>
      <c r="E586">
        <v>129545.05406348317</v>
      </c>
      <c r="F586">
        <v>44968.503742856534</v>
      </c>
      <c r="G586">
        <v>10000</v>
      </c>
      <c r="H586">
        <v>427095.41129281418</v>
      </c>
      <c r="I586">
        <v>31.805369325787087</v>
      </c>
    </row>
    <row r="587" spans="1:9" x14ac:dyDescent="0.2">
      <c r="A587">
        <v>577</v>
      </c>
      <c r="B587">
        <v>1062627.6150777936</v>
      </c>
      <c r="C587">
        <v>125267.0941790006</v>
      </c>
      <c r="D587">
        <v>105486.02502394636</v>
      </c>
      <c r="E587">
        <v>34048.107203379244</v>
      </c>
      <c r="F587">
        <v>38357.176652541639</v>
      </c>
      <c r="G587">
        <v>10000</v>
      </c>
      <c r="H587">
        <v>293158.40305886779</v>
      </c>
      <c r="I587">
        <v>35.0512923385824</v>
      </c>
    </row>
    <row r="588" spans="1:9" x14ac:dyDescent="0.2">
      <c r="A588">
        <v>578</v>
      </c>
      <c r="B588">
        <v>1449552.1970806248</v>
      </c>
      <c r="C588">
        <v>104069.49710870993</v>
      </c>
      <c r="D588">
        <v>112629.53114196949</v>
      </c>
      <c r="E588">
        <v>146367.95858295952</v>
      </c>
      <c r="F588">
        <v>46133.166363435659</v>
      </c>
      <c r="G588">
        <v>10000</v>
      </c>
      <c r="H588">
        <v>399200.15319707466</v>
      </c>
      <c r="I588">
        <v>29.594825034073104</v>
      </c>
    </row>
    <row r="589" spans="1:9" x14ac:dyDescent="0.2">
      <c r="A589">
        <v>579</v>
      </c>
      <c r="B589">
        <v>1506976.4832116538</v>
      </c>
      <c r="C589">
        <v>96041.479128668521</v>
      </c>
      <c r="D589">
        <v>83510.703963763241</v>
      </c>
      <c r="E589">
        <v>195828.49087602895</v>
      </c>
      <c r="F589">
        <v>49557.357060648159</v>
      </c>
      <c r="G589">
        <v>10000</v>
      </c>
      <c r="H589">
        <v>414938.03102910885</v>
      </c>
      <c r="I589">
        <v>28.646273644104845</v>
      </c>
    </row>
    <row r="590" spans="1:9" x14ac:dyDescent="0.2">
      <c r="A590">
        <v>580</v>
      </c>
      <c r="B590">
        <v>1493439.460978186</v>
      </c>
      <c r="C590">
        <v>100498.94524140733</v>
      </c>
      <c r="D590">
        <v>137015.66322103632</v>
      </c>
      <c r="E590">
        <v>138149.2457464223</v>
      </c>
      <c r="F590">
        <v>45564.178551675388</v>
      </c>
      <c r="G590">
        <v>10000</v>
      </c>
      <c r="H590">
        <v>411228.0327605413</v>
      </c>
      <c r="I590">
        <v>46.594815605664081</v>
      </c>
    </row>
    <row r="591" spans="1:9" x14ac:dyDescent="0.2">
      <c r="A591">
        <v>581</v>
      </c>
      <c r="B591">
        <v>1397570.5581631896</v>
      </c>
      <c r="C591">
        <v>116630.65400302628</v>
      </c>
      <c r="D591">
        <v>61731.880085263001</v>
      </c>
      <c r="E591">
        <v>168898.40363499371</v>
      </c>
      <c r="F591">
        <v>47692.966405499566</v>
      </c>
      <c r="G591">
        <v>10000</v>
      </c>
      <c r="H591">
        <v>384953.90412878251</v>
      </c>
      <c r="I591">
        <v>32.088253670389463</v>
      </c>
    </row>
    <row r="592" spans="1:9" x14ac:dyDescent="0.2">
      <c r="A592">
        <v>582</v>
      </c>
      <c r="B592">
        <v>1554621.6143495943</v>
      </c>
      <c r="C592">
        <v>149995.27844462142</v>
      </c>
      <c r="D592">
        <v>88176.848489963581</v>
      </c>
      <c r="E592">
        <v>153216.3880005973</v>
      </c>
      <c r="F592">
        <v>46607.288400041354</v>
      </c>
      <c r="G592">
        <v>10000</v>
      </c>
      <c r="H592">
        <v>427995.80333522364</v>
      </c>
      <c r="I592">
        <v>36.135526366546834</v>
      </c>
    </row>
    <row r="593" spans="1:9" x14ac:dyDescent="0.2">
      <c r="A593">
        <v>583</v>
      </c>
      <c r="B593">
        <v>887331.18956358079</v>
      </c>
      <c r="C593">
        <v>98656.415645372093</v>
      </c>
      <c r="D593">
        <v>41593.297486472882</v>
      </c>
      <c r="E593">
        <v>73759.95016633108</v>
      </c>
      <c r="F593">
        <v>41106.45808843831</v>
      </c>
      <c r="G593">
        <v>10000</v>
      </c>
      <c r="H593">
        <v>245116.12138661437</v>
      </c>
      <c r="I593">
        <v>41.468512974371947</v>
      </c>
    </row>
    <row r="594" spans="1:9" x14ac:dyDescent="0.2">
      <c r="A594">
        <v>584</v>
      </c>
      <c r="B594">
        <v>1155283.9164706343</v>
      </c>
      <c r="C594">
        <v>116660.76059789678</v>
      </c>
      <c r="D594">
        <v>72338.63780306968</v>
      </c>
      <c r="E594">
        <v>96847.828146204542</v>
      </c>
      <c r="F594">
        <v>42704.849640891087</v>
      </c>
      <c r="G594">
        <v>10000</v>
      </c>
      <c r="H594">
        <v>318552.07618806208</v>
      </c>
      <c r="I594">
        <v>27.137959544540195</v>
      </c>
    </row>
    <row r="595" spans="1:9" x14ac:dyDescent="0.2">
      <c r="A595">
        <v>585</v>
      </c>
      <c r="B595">
        <v>1068104.0279882881</v>
      </c>
      <c r="C595">
        <v>98989.253240577556</v>
      </c>
      <c r="D595">
        <v>61490.977273645913</v>
      </c>
      <c r="E595">
        <v>101174.65597978971</v>
      </c>
      <c r="F595">
        <v>43004.399260139289</v>
      </c>
      <c r="G595">
        <v>10000</v>
      </c>
      <c r="H595">
        <v>294659.28575415246</v>
      </c>
      <c r="I595">
        <v>28.402032994306101</v>
      </c>
    </row>
    <row r="596" spans="1:9" x14ac:dyDescent="0.2">
      <c r="A596">
        <v>586</v>
      </c>
      <c r="B596">
        <v>1738412.2738758088</v>
      </c>
      <c r="C596">
        <v>119939.13234148416</v>
      </c>
      <c r="D596">
        <v>146944.33514694357</v>
      </c>
      <c r="E596">
        <v>173472.91057849009</v>
      </c>
      <c r="F596">
        <v>48009.663040049316</v>
      </c>
      <c r="G596">
        <v>10000</v>
      </c>
      <c r="H596">
        <v>478366.0411069672</v>
      </c>
      <c r="I596">
        <v>57.351869606105389</v>
      </c>
    </row>
    <row r="597" spans="1:9" x14ac:dyDescent="0.2">
      <c r="A597">
        <v>587</v>
      </c>
      <c r="B597">
        <v>1143402.8161515866</v>
      </c>
      <c r="C597">
        <v>144198.29343260606</v>
      </c>
      <c r="D597">
        <v>68200.484410708741</v>
      </c>
      <c r="E597">
        <v>71918.176488282756</v>
      </c>
      <c r="F597">
        <v>40978.950679958034</v>
      </c>
      <c r="G597">
        <v>10000</v>
      </c>
      <c r="H597">
        <v>315295.90501155559</v>
      </c>
      <c r="I597">
        <v>37.551574693616914</v>
      </c>
    </row>
    <row r="598" spans="1:9" x14ac:dyDescent="0.2">
      <c r="A598">
        <v>588</v>
      </c>
      <c r="B598">
        <v>1526248.5033785892</v>
      </c>
      <c r="C598">
        <v>159200.06614997314</v>
      </c>
      <c r="D598">
        <v>82543.023106807173</v>
      </c>
      <c r="E598">
        <v>142604.09982281399</v>
      </c>
      <c r="F598">
        <v>45872.591526194818</v>
      </c>
      <c r="G598">
        <v>10000</v>
      </c>
      <c r="H598">
        <v>420219.78060578916</v>
      </c>
      <c r="I598">
        <v>40.718450180883579</v>
      </c>
    </row>
    <row r="599" spans="1:9" x14ac:dyDescent="0.2">
      <c r="A599">
        <v>589</v>
      </c>
      <c r="B599">
        <v>1228153.9900728981</v>
      </c>
      <c r="C599">
        <v>108728.27470433875</v>
      </c>
      <c r="D599">
        <v>38790.857181007486</v>
      </c>
      <c r="E599">
        <v>154320.23401170905</v>
      </c>
      <c r="F599">
        <v>46683.708508502932</v>
      </c>
      <c r="G599">
        <v>10000</v>
      </c>
      <c r="H599">
        <v>338523.07440555817</v>
      </c>
      <c r="I599">
        <v>30.610690614530448</v>
      </c>
    </row>
    <row r="600" spans="1:9" x14ac:dyDescent="0.2">
      <c r="A600">
        <v>590</v>
      </c>
      <c r="B600">
        <v>1020334.0976077847</v>
      </c>
      <c r="C600">
        <v>96531.035060434704</v>
      </c>
      <c r="D600">
        <v>69672.971639918469</v>
      </c>
      <c r="E600">
        <v>83577.190679583553</v>
      </c>
      <c r="F600">
        <v>41786.113200894244</v>
      </c>
      <c r="G600">
        <v>10000</v>
      </c>
      <c r="H600">
        <v>281567.31058083096</v>
      </c>
      <c r="I600">
        <v>33.716600452689718</v>
      </c>
    </row>
    <row r="601" spans="1:9" x14ac:dyDescent="0.2">
      <c r="A601">
        <v>591</v>
      </c>
      <c r="B601">
        <v>1563269.0296676997</v>
      </c>
      <c r="C601">
        <v>155934.22393968134</v>
      </c>
      <c r="D601">
        <v>60916.123623193918</v>
      </c>
      <c r="E601">
        <v>175374.10876255174</v>
      </c>
      <c r="F601">
        <v>48141.284452792046</v>
      </c>
      <c r="G601">
        <v>10000</v>
      </c>
      <c r="H601">
        <v>430365.74077821901</v>
      </c>
      <c r="I601">
        <v>25.852689806568943</v>
      </c>
    </row>
    <row r="602" spans="1:9" x14ac:dyDescent="0.2">
      <c r="A602">
        <v>592</v>
      </c>
      <c r="B602">
        <v>1254045.6850493816</v>
      </c>
      <c r="C602">
        <v>112451.00276661012</v>
      </c>
      <c r="D602">
        <v>101239.78596950405</v>
      </c>
      <c r="E602">
        <v>99069.580570506892</v>
      </c>
      <c r="F602">
        <v>42858.663270265861</v>
      </c>
      <c r="G602">
        <v>10000</v>
      </c>
      <c r="H602">
        <v>345619.03257688688</v>
      </c>
      <c r="I602">
        <v>26.173689284948026</v>
      </c>
    </row>
    <row r="603" spans="1:9" x14ac:dyDescent="0.2">
      <c r="A603">
        <v>593</v>
      </c>
      <c r="B603">
        <v>997520.49616433971</v>
      </c>
      <c r="C603">
        <v>125869.88544454485</v>
      </c>
      <c r="D603">
        <v>62498.709800603036</v>
      </c>
      <c r="E603">
        <v>57000.182534771076</v>
      </c>
      <c r="F603">
        <v>39946.166483176457</v>
      </c>
      <c r="G603">
        <v>10000</v>
      </c>
      <c r="H603">
        <v>275314.94426309539</v>
      </c>
      <c r="I603">
        <v>29.111809141573559</v>
      </c>
    </row>
    <row r="604" spans="1:9" x14ac:dyDescent="0.2">
      <c r="A604">
        <v>594</v>
      </c>
      <c r="B604">
        <v>966042.33410089859</v>
      </c>
      <c r="C604">
        <v>102377.51339468468</v>
      </c>
      <c r="D604">
        <v>42357.07867151728</v>
      </c>
      <c r="E604">
        <v>89740.542736736825</v>
      </c>
      <c r="F604">
        <v>42212.80680485101</v>
      </c>
      <c r="G604">
        <v>10000</v>
      </c>
      <c r="H604">
        <v>266687.94160778978</v>
      </c>
      <c r="I604">
        <v>33.380844819381295</v>
      </c>
    </row>
    <row r="605" spans="1:9" x14ac:dyDescent="0.2">
      <c r="A605">
        <v>595</v>
      </c>
      <c r="B605">
        <v>1378874.5428038936</v>
      </c>
      <c r="C605">
        <v>116232.86542414369</v>
      </c>
      <c r="D605">
        <v>82816.969238084508</v>
      </c>
      <c r="E605">
        <v>144758.4431787525</v>
      </c>
      <c r="F605">
        <v>46021.738373913635</v>
      </c>
      <c r="G605">
        <v>10000</v>
      </c>
      <c r="H605">
        <v>379830.01621489431</v>
      </c>
      <c r="I605">
        <v>35.609769847295041</v>
      </c>
    </row>
    <row r="606" spans="1:9" x14ac:dyDescent="0.2">
      <c r="A606">
        <v>596</v>
      </c>
      <c r="B606">
        <v>1435713.9504333278</v>
      </c>
      <c r="C606">
        <v>150252.46630269685</v>
      </c>
      <c r="D606">
        <v>128526.1559661807</v>
      </c>
      <c r="E606">
        <v>84760.914828883921</v>
      </c>
      <c r="F606">
        <v>41868.063334307342</v>
      </c>
      <c r="G606">
        <v>10000</v>
      </c>
      <c r="H606">
        <v>395407.60043206887</v>
      </c>
      <c r="I606">
        <v>29.9045356778532</v>
      </c>
    </row>
    <row r="607" spans="1:9" x14ac:dyDescent="0.2">
      <c r="A607">
        <v>597</v>
      </c>
      <c r="B607">
        <v>1415111.8137967207</v>
      </c>
      <c r="C607">
        <v>136153.79698649561</v>
      </c>
      <c r="D607">
        <v>109927.00215547885</v>
      </c>
      <c r="E607">
        <v>110060.91412424565</v>
      </c>
      <c r="F607">
        <v>43619.601747063156</v>
      </c>
      <c r="G607">
        <v>10000</v>
      </c>
      <c r="H607">
        <v>389761.31501328328</v>
      </c>
      <c r="I607">
        <v>27.118057703443256</v>
      </c>
    </row>
    <row r="608" spans="1:9" x14ac:dyDescent="0.2">
      <c r="A608">
        <v>598</v>
      </c>
      <c r="B608">
        <v>1024056.7121202068</v>
      </c>
      <c r="C608">
        <v>113058.9100932474</v>
      </c>
      <c r="D608">
        <v>74307.053345676701</v>
      </c>
      <c r="E608">
        <v>64739.605709693518</v>
      </c>
      <c r="F608">
        <v>40481.972702978783</v>
      </c>
      <c r="G608">
        <v>10000</v>
      </c>
      <c r="H608">
        <v>282587.54185159638</v>
      </c>
      <c r="I608">
        <v>34.915634919018558</v>
      </c>
    </row>
    <row r="609" spans="1:9" x14ac:dyDescent="0.2">
      <c r="A609">
        <v>599</v>
      </c>
      <c r="B609">
        <v>1293936.7399939427</v>
      </c>
      <c r="C609">
        <v>136336.79399384808</v>
      </c>
      <c r="D609">
        <v>95896.716773766195</v>
      </c>
      <c r="E609">
        <v>91952.262122395594</v>
      </c>
      <c r="F609">
        <v>42365.925839242773</v>
      </c>
      <c r="G609">
        <v>10000</v>
      </c>
      <c r="H609">
        <v>356551.69872925268</v>
      </c>
      <c r="I609">
        <v>47.589934553973777</v>
      </c>
    </row>
    <row r="610" spans="1:9" x14ac:dyDescent="0.2">
      <c r="A610">
        <v>600</v>
      </c>
      <c r="B610">
        <v>774145.83773098269</v>
      </c>
      <c r="C610">
        <v>99174.708947802908</v>
      </c>
      <c r="D610">
        <v>46790.6600724202</v>
      </c>
      <c r="E610">
        <v>39402.928965789077</v>
      </c>
      <c r="F610">
        <v>38727.895082246934</v>
      </c>
      <c r="G610">
        <v>10000</v>
      </c>
      <c r="H610">
        <v>214096.1930682591</v>
      </c>
      <c r="I610">
        <v>35.718834902177306</v>
      </c>
    </row>
    <row r="611" spans="1:9" x14ac:dyDescent="0.2">
      <c r="A611">
        <v>601</v>
      </c>
      <c r="B611">
        <v>1464407.0027952918</v>
      </c>
      <c r="C611">
        <v>123650.67080731799</v>
      </c>
      <c r="D611">
        <v>100764.62626232093</v>
      </c>
      <c r="E611">
        <v>142958.85848013207</v>
      </c>
      <c r="F611">
        <v>45897.151740932219</v>
      </c>
      <c r="G611">
        <v>10000</v>
      </c>
      <c r="H611">
        <v>403271.30729070317</v>
      </c>
      <c r="I611">
        <v>35.622585157760909</v>
      </c>
    </row>
    <row r="612" spans="1:9" x14ac:dyDescent="0.2">
      <c r="A612">
        <v>602</v>
      </c>
      <c r="B612">
        <v>1358988.3290554581</v>
      </c>
      <c r="C612">
        <v>132447.83306417736</v>
      </c>
      <c r="D612">
        <v>150198.89310358622</v>
      </c>
      <c r="E612">
        <v>61477.105378500994</v>
      </c>
      <c r="F612">
        <v>40256.107295434682</v>
      </c>
      <c r="G612">
        <v>10000</v>
      </c>
      <c r="H612">
        <v>374379.93884169927</v>
      </c>
      <c r="I612">
        <v>36.546540674197828</v>
      </c>
    </row>
    <row r="613" spans="1:9" x14ac:dyDescent="0.2">
      <c r="A613">
        <v>603</v>
      </c>
      <c r="B613">
        <v>1448949.4639142102</v>
      </c>
      <c r="C613">
        <v>97381.802621712806</v>
      </c>
      <c r="D613">
        <v>72997.406757955512</v>
      </c>
      <c r="E613">
        <v>189534.16112740999</v>
      </c>
      <c r="F613">
        <v>49121.595770359156</v>
      </c>
      <c r="G613">
        <v>10000</v>
      </c>
      <c r="H613">
        <v>399034.96627743746</v>
      </c>
      <c r="I613">
        <v>24.019026075908876</v>
      </c>
    </row>
    <row r="614" spans="1:9" x14ac:dyDescent="0.2">
      <c r="A614">
        <v>604</v>
      </c>
      <c r="B614">
        <v>1173371.0944242382</v>
      </c>
      <c r="C614">
        <v>114240.32043557022</v>
      </c>
      <c r="D614">
        <v>74668.255019328062</v>
      </c>
      <c r="E614">
        <v>101568.83986682257</v>
      </c>
      <c r="F614">
        <v>43031.688913856946</v>
      </c>
      <c r="G614">
        <v>10000</v>
      </c>
      <c r="H614">
        <v>323509.1042355778</v>
      </c>
      <c r="I614">
        <v>31.919416502573082</v>
      </c>
    </row>
    <row r="615" spans="1:9" x14ac:dyDescent="0.2">
      <c r="A615">
        <v>605</v>
      </c>
      <c r="B615">
        <v>965899.43092539872</v>
      </c>
      <c r="C615">
        <v>132038.72871351187</v>
      </c>
      <c r="D615">
        <v>77090.902189283632</v>
      </c>
      <c r="E615">
        <v>29478.338189325579</v>
      </c>
      <c r="F615">
        <v>38040.808028491774</v>
      </c>
      <c r="G615">
        <v>10000</v>
      </c>
      <c r="H615">
        <v>266648.77712061285</v>
      </c>
      <c r="I615">
        <v>27.660992065776583</v>
      </c>
    </row>
    <row r="616" spans="1:9" x14ac:dyDescent="0.2">
      <c r="A616">
        <v>606</v>
      </c>
      <c r="B616">
        <v>1613742.0749161991</v>
      </c>
      <c r="C616">
        <v>95608.342733505851</v>
      </c>
      <c r="D616">
        <v>119105.64957626321</v>
      </c>
      <c r="E616">
        <v>190309.28919735836</v>
      </c>
      <c r="F616">
        <v>49175.258482894038</v>
      </c>
      <c r="G616">
        <v>10000</v>
      </c>
      <c r="H616">
        <v>444198.5399900215</v>
      </c>
      <c r="I616">
        <v>29.604338165853321</v>
      </c>
    </row>
    <row r="617" spans="1:9" x14ac:dyDescent="0.2">
      <c r="A617">
        <v>607</v>
      </c>
      <c r="B617">
        <v>1151143.4475022624</v>
      </c>
      <c r="C617">
        <v>97725.276924596023</v>
      </c>
      <c r="D617">
        <v>99353.488698288187</v>
      </c>
      <c r="E617">
        <v>88230.308668566315</v>
      </c>
      <c r="F617">
        <v>42108.252138593052</v>
      </c>
      <c r="G617">
        <v>10000</v>
      </c>
      <c r="H617">
        <v>317417.32643004361</v>
      </c>
      <c r="I617">
        <v>31.358502738284944</v>
      </c>
    </row>
    <row r="618" spans="1:9" x14ac:dyDescent="0.2">
      <c r="A618">
        <v>608</v>
      </c>
      <c r="B618">
        <v>1246697.8705974515</v>
      </c>
      <c r="C618">
        <v>119136.15561446013</v>
      </c>
      <c r="D618">
        <v>68194.274805450405</v>
      </c>
      <c r="E618">
        <v>121839.7759437264</v>
      </c>
      <c r="F618">
        <v>44435.06141148875</v>
      </c>
      <c r="G618">
        <v>10000</v>
      </c>
      <c r="H618">
        <v>343605.26777512569</v>
      </c>
      <c r="I618">
        <v>41.236273039240189</v>
      </c>
    </row>
    <row r="619" spans="1:9" x14ac:dyDescent="0.2">
      <c r="A619">
        <v>609</v>
      </c>
      <c r="B619">
        <v>1212747.0578937258</v>
      </c>
      <c r="C619">
        <v>115724.06938627803</v>
      </c>
      <c r="D619">
        <v>55812.464065661145</v>
      </c>
      <c r="E619">
        <v>127908.84185676335</v>
      </c>
      <c r="F619">
        <v>44855.227513160535</v>
      </c>
      <c r="G619">
        <v>10000</v>
      </c>
      <c r="H619">
        <v>334300.60282186308</v>
      </c>
      <c r="I619">
        <v>48.886838820818653</v>
      </c>
    </row>
    <row r="620" spans="1:9" x14ac:dyDescent="0.2">
      <c r="A620">
        <v>610</v>
      </c>
      <c r="B620">
        <v>1711327.2386386613</v>
      </c>
      <c r="C620">
        <v>110349.11415895399</v>
      </c>
      <c r="D620">
        <v>139853.76535097463</v>
      </c>
      <c r="E620">
        <v>182131.07824745469</v>
      </c>
      <c r="F620">
        <v>48609.074647900707</v>
      </c>
      <c r="G620">
        <v>10000</v>
      </c>
      <c r="H620">
        <v>470943.03240528406</v>
      </c>
      <c r="I620">
        <v>39.160323954014608</v>
      </c>
    </row>
    <row r="621" spans="1:9" x14ac:dyDescent="0.2">
      <c r="A621">
        <v>611</v>
      </c>
      <c r="B621">
        <v>1794646.9372809727</v>
      </c>
      <c r="C621">
        <v>146031.05606275392</v>
      </c>
      <c r="D621">
        <v>100533.6783856846</v>
      </c>
      <c r="E621">
        <v>206889.9990209442</v>
      </c>
      <c r="F621">
        <v>50323.15377837306</v>
      </c>
      <c r="G621">
        <v>10000</v>
      </c>
      <c r="H621">
        <v>493777.88724775577</v>
      </c>
      <c r="I621">
        <v>51.487594577596113</v>
      </c>
    </row>
    <row r="622" spans="1:9" x14ac:dyDescent="0.2">
      <c r="A622">
        <v>612</v>
      </c>
      <c r="B622">
        <v>1212672.1161646564</v>
      </c>
      <c r="C622">
        <v>123447.76898862384</v>
      </c>
      <c r="D622">
        <v>150921.16355462288</v>
      </c>
      <c r="E622">
        <v>31715.446741658307</v>
      </c>
      <c r="F622">
        <v>38195.684774422502</v>
      </c>
      <c r="G622">
        <v>10000</v>
      </c>
      <c r="H622">
        <v>334280.06405932753</v>
      </c>
      <c r="I622">
        <v>33.888734784677233</v>
      </c>
    </row>
    <row r="623" spans="1:9" x14ac:dyDescent="0.2">
      <c r="A623">
        <v>613</v>
      </c>
      <c r="B623">
        <v>931287.14025731245</v>
      </c>
      <c r="C623">
        <v>72062.049048082874</v>
      </c>
      <c r="D623">
        <v>60815.028757876091</v>
      </c>
      <c r="E623">
        <v>91921.922272280368</v>
      </c>
      <c r="F623">
        <v>42363.825388080943</v>
      </c>
      <c r="G623">
        <v>10000</v>
      </c>
      <c r="H623">
        <v>257162.82546632033</v>
      </c>
      <c r="I623">
        <v>35.522744235459584</v>
      </c>
    </row>
    <row r="624" spans="1:9" x14ac:dyDescent="0.2">
      <c r="A624">
        <v>614</v>
      </c>
      <c r="B624">
        <v>1223743.9741940149</v>
      </c>
      <c r="C624">
        <v>113630.28644272283</v>
      </c>
      <c r="D624">
        <v>105275.75531969778</v>
      </c>
      <c r="E624">
        <v>86425.131676578254</v>
      </c>
      <c r="F624">
        <v>41983.278346840038</v>
      </c>
      <c r="G624">
        <v>10000</v>
      </c>
      <c r="H624">
        <v>337314.45178583893</v>
      </c>
      <c r="I624">
        <v>46.137775430377346</v>
      </c>
    </row>
    <row r="625" spans="1:9" x14ac:dyDescent="0.2">
      <c r="A625">
        <v>615</v>
      </c>
      <c r="B625">
        <v>1358274.6742799659</v>
      </c>
      <c r="C625">
        <v>88102.554863751837</v>
      </c>
      <c r="D625">
        <v>50283.617212674551</v>
      </c>
      <c r="E625">
        <v>196214.12548444225</v>
      </c>
      <c r="F625">
        <v>49584.054841230616</v>
      </c>
      <c r="G625">
        <v>10000</v>
      </c>
      <c r="H625">
        <v>374184.35240209929</v>
      </c>
      <c r="I625">
        <v>50.495958350966688</v>
      </c>
    </row>
    <row r="626" spans="1:9" x14ac:dyDescent="0.2">
      <c r="A626">
        <v>616</v>
      </c>
      <c r="B626">
        <v>871345.46955050854</v>
      </c>
      <c r="C626">
        <v>109691.82513786871</v>
      </c>
      <c r="D626">
        <v>69198.719514515382</v>
      </c>
      <c r="E626">
        <v>33523.615102030788</v>
      </c>
      <c r="F626">
        <v>38320.865660909818</v>
      </c>
      <c r="G626">
        <v>10000</v>
      </c>
      <c r="H626">
        <v>240735.02541532469</v>
      </c>
      <c r="I626">
        <v>38.246386343095139</v>
      </c>
    </row>
    <row r="627" spans="1:9" x14ac:dyDescent="0.2">
      <c r="A627">
        <v>617</v>
      </c>
      <c r="B627">
        <v>1183940.3766725487</v>
      </c>
      <c r="C627">
        <v>102016.91114662946</v>
      </c>
      <c r="D627">
        <v>89476.239244085722</v>
      </c>
      <c r="E627">
        <v>101860.70886600313</v>
      </c>
      <c r="F627">
        <v>43051.89522918484</v>
      </c>
      <c r="G627">
        <v>10000</v>
      </c>
      <c r="H627">
        <v>326405.75448590313</v>
      </c>
      <c r="I627">
        <v>27.573050221558695</v>
      </c>
    </row>
    <row r="628" spans="1:9" x14ac:dyDescent="0.2">
      <c r="A628">
        <v>618</v>
      </c>
      <c r="B628">
        <v>831379.67563213781</v>
      </c>
      <c r="C628">
        <v>104024.92303824809</v>
      </c>
      <c r="D628">
        <v>48592.786893967736</v>
      </c>
      <c r="E628">
        <v>47851.378400521768</v>
      </c>
      <c r="F628">
        <v>39312.787735420738</v>
      </c>
      <c r="G628">
        <v>10000</v>
      </c>
      <c r="H628">
        <v>229781.87606815834</v>
      </c>
      <c r="I628">
        <v>40.340213442364004</v>
      </c>
    </row>
    <row r="629" spans="1:9" x14ac:dyDescent="0.2">
      <c r="A629">
        <v>619</v>
      </c>
      <c r="B629">
        <v>1631218.8364006565</v>
      </c>
      <c r="C629">
        <v>123887.66318931332</v>
      </c>
      <c r="D629">
        <v>79473.828309303513</v>
      </c>
      <c r="E629">
        <v>205406.34466358332</v>
      </c>
      <c r="F629">
        <v>50220.439245940383</v>
      </c>
      <c r="G629">
        <v>10000</v>
      </c>
      <c r="H629">
        <v>448988.2754081405</v>
      </c>
      <c r="I629">
        <v>27.57444278856137</v>
      </c>
    </row>
    <row r="630" spans="1:9" x14ac:dyDescent="0.2">
      <c r="A630">
        <v>620</v>
      </c>
      <c r="B630">
        <v>1293081.9778411451</v>
      </c>
      <c r="C630">
        <v>113797.85321057819</v>
      </c>
      <c r="D630">
        <v>87702.825025034123</v>
      </c>
      <c r="E630">
        <v>120476.10809176037</v>
      </c>
      <c r="F630">
        <v>44340.653637121868</v>
      </c>
      <c r="G630">
        <v>10000</v>
      </c>
      <c r="H630">
        <v>356317.43996449455</v>
      </c>
      <c r="I630">
        <v>32.384205857654486</v>
      </c>
    </row>
    <row r="631" spans="1:9" x14ac:dyDescent="0.2">
      <c r="A631">
        <v>621</v>
      </c>
      <c r="B631">
        <v>1419365.2519750351</v>
      </c>
      <c r="C631">
        <v>91364.015013597615</v>
      </c>
      <c r="D631">
        <v>76932.859312308268</v>
      </c>
      <c r="E631">
        <v>183898.70250241537</v>
      </c>
      <c r="F631">
        <v>48731.448634782602</v>
      </c>
      <c r="G631">
        <v>10000</v>
      </c>
      <c r="H631">
        <v>390927.02546310378</v>
      </c>
      <c r="I631">
        <v>45.876912877446216</v>
      </c>
    </row>
    <row r="632" spans="1:9" x14ac:dyDescent="0.2">
      <c r="A632">
        <v>622</v>
      </c>
      <c r="B632">
        <v>974762.18662812561</v>
      </c>
      <c r="C632">
        <v>107834.9783171576</v>
      </c>
      <c r="D632">
        <v>103510.43773815385</v>
      </c>
      <c r="E632">
        <v>29677.705014361927</v>
      </c>
      <c r="F632">
        <v>38054.610347148126</v>
      </c>
      <c r="G632">
        <v>10000</v>
      </c>
      <c r="H632">
        <v>269077.73141682154</v>
      </c>
      <c r="I632">
        <v>36.463399891092223</v>
      </c>
    </row>
    <row r="633" spans="1:9" x14ac:dyDescent="0.2">
      <c r="A633">
        <v>623</v>
      </c>
      <c r="B633">
        <v>1084469.9682865092</v>
      </c>
      <c r="C633">
        <v>120520.93800164943</v>
      </c>
      <c r="D633">
        <v>116178.76687344458</v>
      </c>
      <c r="E633">
        <v>34085.14069075216</v>
      </c>
      <c r="F633">
        <v>38359.740509359763</v>
      </c>
      <c r="G633">
        <v>10000</v>
      </c>
      <c r="H633">
        <v>299144.58607520594</v>
      </c>
      <c r="I633">
        <v>29.409463398687031</v>
      </c>
    </row>
    <row r="634" spans="1:9" x14ac:dyDescent="0.2">
      <c r="A634">
        <v>624</v>
      </c>
      <c r="B634">
        <v>874352.20880215487</v>
      </c>
      <c r="C634">
        <v>90729.447111388858</v>
      </c>
      <c r="D634">
        <v>50398.470933587276</v>
      </c>
      <c r="E634">
        <v>69611.860966162334</v>
      </c>
      <c r="F634">
        <v>40819.28268227278</v>
      </c>
      <c r="G634">
        <v>10000</v>
      </c>
      <c r="H634">
        <v>241559.06169341126</v>
      </c>
      <c r="I634">
        <v>30.398451078899605</v>
      </c>
    </row>
    <row r="635" spans="1:9" x14ac:dyDescent="0.2">
      <c r="A635">
        <v>625</v>
      </c>
      <c r="B635">
        <v>1247956.2974048099</v>
      </c>
      <c r="C635">
        <v>103911.06213715911</v>
      </c>
      <c r="D635">
        <v>157640.67131172266</v>
      </c>
      <c r="E635">
        <v>52746.726244964346</v>
      </c>
      <c r="F635">
        <v>39651.696432343684</v>
      </c>
      <c r="G635">
        <v>10000</v>
      </c>
      <c r="H635">
        <v>343950.1561261898</v>
      </c>
      <c r="I635">
        <v>43.794660251588866</v>
      </c>
    </row>
    <row r="636" spans="1:9" x14ac:dyDescent="0.2">
      <c r="A636">
        <v>626</v>
      </c>
      <c r="B636">
        <v>1500782.9821224599</v>
      </c>
      <c r="C636">
        <v>138124.38053798856</v>
      </c>
      <c r="D636">
        <v>162566.68617717721</v>
      </c>
      <c r="E636">
        <v>80945.626239506935</v>
      </c>
      <c r="F636">
        <v>41603.927970427401</v>
      </c>
      <c r="G636">
        <v>10000</v>
      </c>
      <c r="H636">
        <v>413240.62092510005</v>
      </c>
      <c r="I636">
        <v>43.654072440323937</v>
      </c>
    </row>
    <row r="637" spans="1:9" x14ac:dyDescent="0.2">
      <c r="A637">
        <v>627</v>
      </c>
      <c r="B637">
        <v>1632552.3854369493</v>
      </c>
      <c r="C637">
        <v>150384.75895249241</v>
      </c>
      <c r="D637">
        <v>137488.15583570028</v>
      </c>
      <c r="E637">
        <v>126708.69666364732</v>
      </c>
      <c r="F637">
        <v>44772.140538252512</v>
      </c>
      <c r="G637">
        <v>10000</v>
      </c>
      <c r="H637">
        <v>449353.75199009257</v>
      </c>
      <c r="I637">
        <v>31.601984246499057</v>
      </c>
    </row>
    <row r="638" spans="1:9" x14ac:dyDescent="0.2">
      <c r="A638">
        <v>628</v>
      </c>
      <c r="B638">
        <v>1567772.2171795033</v>
      </c>
      <c r="C638">
        <v>82404.523461538396</v>
      </c>
      <c r="D638">
        <v>131279.86287197153</v>
      </c>
      <c r="E638">
        <v>179489.32774258062</v>
      </c>
      <c r="F638">
        <v>48426.18422833251</v>
      </c>
      <c r="G638">
        <v>10000</v>
      </c>
      <c r="H638">
        <v>431599.89830442308</v>
      </c>
      <c r="I638">
        <v>30.45062471553463</v>
      </c>
    </row>
    <row r="639" spans="1:9" x14ac:dyDescent="0.2">
      <c r="A639">
        <v>629</v>
      </c>
      <c r="B639">
        <v>1425463.529796645</v>
      </c>
      <c r="C639">
        <v>127117.07330231351</v>
      </c>
      <c r="D639">
        <v>80314.713271563465</v>
      </c>
      <c r="E639">
        <v>148860.80385051464</v>
      </c>
      <c r="F639">
        <v>46305.747958881788</v>
      </c>
      <c r="G639">
        <v>10000</v>
      </c>
      <c r="H639">
        <v>392598.3383832734</v>
      </c>
      <c r="I639">
        <v>48.186650770214584</v>
      </c>
    </row>
    <row r="640" spans="1:9" x14ac:dyDescent="0.2">
      <c r="A640">
        <v>630</v>
      </c>
      <c r="B640">
        <v>1600207.7351924535</v>
      </c>
      <c r="C640">
        <v>135346.44262342495</v>
      </c>
      <c r="D640">
        <v>72848.112685251195</v>
      </c>
      <c r="E640">
        <v>192937.50940044457</v>
      </c>
      <c r="F640">
        <v>49357.212189261547</v>
      </c>
      <c r="G640">
        <v>10000</v>
      </c>
      <c r="H640">
        <v>440489.27689838229</v>
      </c>
      <c r="I640">
        <v>31.823640111126643</v>
      </c>
    </row>
    <row r="641" spans="1:9" x14ac:dyDescent="0.2">
      <c r="A641">
        <v>631</v>
      </c>
      <c r="B641">
        <v>1407075.9336774622</v>
      </c>
      <c r="C641">
        <v>101472.34729563401</v>
      </c>
      <c r="D641">
        <v>48573.73387161448</v>
      </c>
      <c r="E641">
        <v>197817.81606147817</v>
      </c>
      <c r="F641">
        <v>49695.079573486953</v>
      </c>
      <c r="G641">
        <v>10000</v>
      </c>
      <c r="H641">
        <v>387558.97680221358</v>
      </c>
      <c r="I641">
        <v>32.459259751794534</v>
      </c>
    </row>
    <row r="642" spans="1:9" x14ac:dyDescent="0.2">
      <c r="A642">
        <v>632</v>
      </c>
      <c r="B642">
        <v>1433364.7559539434</v>
      </c>
      <c r="C642">
        <v>97070.567001015486</v>
      </c>
      <c r="D642">
        <v>91181.853386820061</v>
      </c>
      <c r="E642">
        <v>168823.56710911368</v>
      </c>
      <c r="F642">
        <v>47687.785415246326</v>
      </c>
      <c r="G642">
        <v>10000</v>
      </c>
      <c r="H642">
        <v>394763.77291219553</v>
      </c>
      <c r="I642">
        <v>35.48780187797459</v>
      </c>
    </row>
    <row r="643" spans="1:9" x14ac:dyDescent="0.2">
      <c r="A643">
        <v>633</v>
      </c>
      <c r="B643">
        <v>1051609.5717956466</v>
      </c>
      <c r="C643">
        <v>116708.96901541392</v>
      </c>
      <c r="D643">
        <v>98733.437801074164</v>
      </c>
      <c r="E643">
        <v>45543.355610043342</v>
      </c>
      <c r="F643">
        <v>39153.001542233775</v>
      </c>
      <c r="G643">
        <v>10000</v>
      </c>
      <c r="H643">
        <v>290138.76396876515</v>
      </c>
      <c r="I643">
        <v>40.075468323760866</v>
      </c>
    </row>
    <row r="644" spans="1:9" x14ac:dyDescent="0.2">
      <c r="A644">
        <v>634</v>
      </c>
      <c r="B644">
        <v>1442246.6173352746</v>
      </c>
      <c r="C644">
        <v>115896.17653805592</v>
      </c>
      <c r="D644">
        <v>67103.690473548661</v>
      </c>
      <c r="E644">
        <v>176012.60810487755</v>
      </c>
      <c r="F644">
        <v>48185.488253414595</v>
      </c>
      <c r="G644">
        <v>10000</v>
      </c>
      <c r="H644">
        <v>397197.96336989669</v>
      </c>
      <c r="I644">
        <v>32.383561047246744</v>
      </c>
    </row>
    <row r="645" spans="1:9" x14ac:dyDescent="0.2">
      <c r="A645">
        <v>635</v>
      </c>
      <c r="B645">
        <v>1359984.3196057091</v>
      </c>
      <c r="C645">
        <v>121087.97402465397</v>
      </c>
      <c r="D645">
        <v>139022.84381356224</v>
      </c>
      <c r="E645">
        <v>82809.144488289981</v>
      </c>
      <c r="F645">
        <v>41732.940772266229</v>
      </c>
      <c r="G645">
        <v>10000</v>
      </c>
      <c r="H645">
        <v>374652.9030987724</v>
      </c>
      <c r="I645">
        <v>24.757930255419648</v>
      </c>
    </row>
    <row r="646" spans="1:9" x14ac:dyDescent="0.2">
      <c r="A646">
        <v>636</v>
      </c>
      <c r="B646">
        <v>1263359.8810743461</v>
      </c>
      <c r="C646">
        <v>158925.90986765848</v>
      </c>
      <c r="D646">
        <v>46224.777568528043</v>
      </c>
      <c r="E646">
        <v>109444.12182877724</v>
      </c>
      <c r="F646">
        <v>43576.900741992264</v>
      </c>
      <c r="G646">
        <v>10000</v>
      </c>
      <c r="H646">
        <v>348171.71000695607</v>
      </c>
      <c r="I646">
        <v>34.869148660218038</v>
      </c>
    </row>
    <row r="647" spans="1:9" x14ac:dyDescent="0.2">
      <c r="A647">
        <v>637</v>
      </c>
      <c r="B647">
        <v>1164476.1451049065</v>
      </c>
      <c r="C647">
        <v>101624.01068841379</v>
      </c>
      <c r="D647">
        <v>46877.949517431742</v>
      </c>
      <c r="E647">
        <v>137079.26377448416</v>
      </c>
      <c r="F647">
        <v>45490.102876695055</v>
      </c>
      <c r="G647">
        <v>10000</v>
      </c>
      <c r="H647">
        <v>321071.32685702475</v>
      </c>
      <c r="I647">
        <v>38.916523849511442</v>
      </c>
    </row>
    <row r="648" spans="1:9" x14ac:dyDescent="0.2">
      <c r="A648">
        <v>638</v>
      </c>
      <c r="B648">
        <v>1587368.2269380454</v>
      </c>
      <c r="C648">
        <v>88679.934681451152</v>
      </c>
      <c r="D648">
        <v>101940.08426412604</v>
      </c>
      <c r="E648">
        <v>206083.12898221923</v>
      </c>
      <c r="F648">
        <v>50267.293544922868</v>
      </c>
      <c r="G648">
        <v>10000</v>
      </c>
      <c r="H648">
        <v>436970.44147271931</v>
      </c>
      <c r="I648">
        <v>32.327549150118912</v>
      </c>
    </row>
    <row r="649" spans="1:9" x14ac:dyDescent="0.2">
      <c r="A649">
        <v>639</v>
      </c>
      <c r="B649">
        <v>1138952.0942706605</v>
      </c>
      <c r="C649">
        <v>125433.53268619138</v>
      </c>
      <c r="D649">
        <v>60812.766076607091</v>
      </c>
      <c r="E649">
        <v>95236.529424996581</v>
      </c>
      <c r="F649">
        <v>42593.298190961301</v>
      </c>
      <c r="G649">
        <v>10000</v>
      </c>
      <c r="H649">
        <v>314076.12637875637</v>
      </c>
      <c r="I649">
        <v>29.49311564396691</v>
      </c>
    </row>
    <row r="650" spans="1:9" x14ac:dyDescent="0.2">
      <c r="A650">
        <v>640</v>
      </c>
      <c r="B650">
        <v>1554393.5333742048</v>
      </c>
      <c r="C650">
        <v>153549.25024843164</v>
      </c>
      <c r="D650">
        <v>113001.02208265023</v>
      </c>
      <c r="E650">
        <v>126617.21521775279</v>
      </c>
      <c r="F650">
        <v>44765.807207382881</v>
      </c>
      <c r="G650">
        <v>10000</v>
      </c>
      <c r="H650">
        <v>427933.29475621751</v>
      </c>
      <c r="I650">
        <v>40.939759489251941</v>
      </c>
    </row>
    <row r="651" spans="1:9" x14ac:dyDescent="0.2">
      <c r="A651">
        <v>641</v>
      </c>
      <c r="B651">
        <v>1301456.8541206606</v>
      </c>
      <c r="C651">
        <v>87986.944354570514</v>
      </c>
      <c r="D651">
        <v>115912.88252545161</v>
      </c>
      <c r="E651">
        <v>120378.93160002425</v>
      </c>
      <c r="F651">
        <v>44333.926033847827</v>
      </c>
      <c r="G651">
        <v>10000</v>
      </c>
      <c r="H651">
        <v>358612.68451389426</v>
      </c>
      <c r="I651">
        <v>28.314223144185078</v>
      </c>
    </row>
    <row r="652" spans="1:9" x14ac:dyDescent="0.2">
      <c r="A652">
        <v>642</v>
      </c>
      <c r="B652">
        <v>1196409.9163465763</v>
      </c>
      <c r="C652">
        <v>153290.97866339065</v>
      </c>
      <c r="D652">
        <v>100424.74945339322</v>
      </c>
      <c r="E652">
        <v>46863.098688273654</v>
      </c>
      <c r="F652">
        <v>39244.368370726639</v>
      </c>
      <c r="G652">
        <v>10000</v>
      </c>
      <c r="H652">
        <v>329823.19517578417</v>
      </c>
      <c r="I652">
        <v>40.081942359669206</v>
      </c>
    </row>
    <row r="653" spans="1:9" x14ac:dyDescent="0.2">
      <c r="A653">
        <v>643</v>
      </c>
      <c r="B653">
        <v>1082803.6684063326</v>
      </c>
      <c r="C653">
        <v>79869.056149462529</v>
      </c>
      <c r="D653">
        <v>47226.649187712792</v>
      </c>
      <c r="E653">
        <v>136165.37572450563</v>
      </c>
      <c r="F653">
        <v>45426.833704004232</v>
      </c>
      <c r="G653">
        <v>10000</v>
      </c>
      <c r="H653">
        <v>298687.91476568516</v>
      </c>
      <c r="I653">
        <v>27.63117475511125</v>
      </c>
    </row>
    <row r="654" spans="1:9" x14ac:dyDescent="0.2">
      <c r="A654">
        <v>644</v>
      </c>
      <c r="B654">
        <v>1291020.3047234891</v>
      </c>
      <c r="C654">
        <v>100913.8017801708</v>
      </c>
      <c r="D654">
        <v>42956.226445431828</v>
      </c>
      <c r="E654">
        <v>173846.83322222054</v>
      </c>
      <c r="F654">
        <v>48035.549992307577</v>
      </c>
      <c r="G654">
        <v>10000</v>
      </c>
      <c r="H654">
        <v>355752.41144013073</v>
      </c>
      <c r="I654">
        <v>33.489950730567116</v>
      </c>
    </row>
    <row r="655" spans="1:9" x14ac:dyDescent="0.2">
      <c r="A655">
        <v>645</v>
      </c>
      <c r="B655">
        <v>1280108.7469317529</v>
      </c>
      <c r="C655">
        <v>83415.093243977986</v>
      </c>
      <c r="D655">
        <v>136235.37008275031</v>
      </c>
      <c r="E655">
        <v>100176.21625674937</v>
      </c>
      <c r="F655">
        <v>42935.276510082651</v>
      </c>
      <c r="G655">
        <v>10000</v>
      </c>
      <c r="H655">
        <v>352761.95609356032</v>
      </c>
      <c r="I655">
        <v>39.592109114975173</v>
      </c>
    </row>
    <row r="656" spans="1:9" x14ac:dyDescent="0.2">
      <c r="A656">
        <v>646</v>
      </c>
      <c r="B656">
        <v>812999.33212875342</v>
      </c>
      <c r="C656">
        <v>103426.36624285071</v>
      </c>
      <c r="D656">
        <v>34644.550658302491</v>
      </c>
      <c r="E656">
        <v>56745.079739857472</v>
      </c>
      <c r="F656">
        <v>39928.505520451668</v>
      </c>
      <c r="G656">
        <v>10000</v>
      </c>
      <c r="H656">
        <v>224744.50216146233</v>
      </c>
      <c r="I656">
        <v>29.598462358974835</v>
      </c>
    </row>
    <row r="657" spans="1:9" x14ac:dyDescent="0.2">
      <c r="A657">
        <v>647</v>
      </c>
      <c r="B657">
        <v>1346166.6405390743</v>
      </c>
      <c r="C657">
        <v>99465.415837217966</v>
      </c>
      <c r="D657">
        <v>101804.50216718546</v>
      </c>
      <c r="E657">
        <v>134298.48193348493</v>
      </c>
      <c r="F657">
        <v>45297.587210779726</v>
      </c>
      <c r="G657">
        <v>10000</v>
      </c>
      <c r="H657">
        <v>370865.98714866809</v>
      </c>
      <c r="I657">
        <v>32.206141468722521</v>
      </c>
    </row>
    <row r="658" spans="1:9" x14ac:dyDescent="0.2">
      <c r="A658">
        <v>648</v>
      </c>
      <c r="B658">
        <v>1187656.0212881807</v>
      </c>
      <c r="C658">
        <v>112585.00759874418</v>
      </c>
      <c r="D658">
        <v>160865.05557952396</v>
      </c>
      <c r="E658">
        <v>26162.745397805542</v>
      </c>
      <c r="F658">
        <v>37811.266989078846</v>
      </c>
      <c r="G658">
        <v>10000</v>
      </c>
      <c r="H658">
        <v>327424.07556515251</v>
      </c>
      <c r="I658">
        <v>28.162308490398321</v>
      </c>
    </row>
    <row r="659" spans="1:9" x14ac:dyDescent="0.2">
      <c r="A659">
        <v>649</v>
      </c>
      <c r="B659">
        <v>1116576.2260730357</v>
      </c>
      <c r="C659">
        <v>127464.48182020326</v>
      </c>
      <c r="D659">
        <v>92483.196644175332</v>
      </c>
      <c r="E659">
        <v>57981.91551413999</v>
      </c>
      <c r="F659">
        <v>40014.13261251738</v>
      </c>
      <c r="G659">
        <v>10000</v>
      </c>
      <c r="H659">
        <v>307943.72659103596</v>
      </c>
      <c r="I659">
        <v>36.209731319539408</v>
      </c>
    </row>
    <row r="660" spans="1:9" x14ac:dyDescent="0.2">
      <c r="A660">
        <v>650</v>
      </c>
      <c r="B660">
        <v>1089355.4413789976</v>
      </c>
      <c r="C660">
        <v>99792.963073062259</v>
      </c>
      <c r="D660">
        <v>57590.037372344501</v>
      </c>
      <c r="E660">
        <v>109518.4658886197</v>
      </c>
      <c r="F660">
        <v>43582.047638442898</v>
      </c>
      <c r="G660">
        <v>10000</v>
      </c>
      <c r="H660">
        <v>300483.51397246937</v>
      </c>
      <c r="I660">
        <v>27.348651410426758</v>
      </c>
    </row>
    <row r="661" spans="1:9" x14ac:dyDescent="0.2">
      <c r="A661">
        <v>651</v>
      </c>
      <c r="B661">
        <v>1097837.6709094723</v>
      </c>
      <c r="C661">
        <v>134839.74288782547</v>
      </c>
      <c r="D661">
        <v>70162.71448128848</v>
      </c>
      <c r="E661">
        <v>67156.431318462288</v>
      </c>
      <c r="F661">
        <v>40649.291398970468</v>
      </c>
      <c r="G661">
        <v>10000</v>
      </c>
      <c r="H661">
        <v>302808.18008654669</v>
      </c>
      <c r="I661">
        <v>54.585517475026123</v>
      </c>
    </row>
    <row r="662" spans="1:9" x14ac:dyDescent="0.2">
      <c r="A662">
        <v>652</v>
      </c>
      <c r="B662">
        <v>1210748.8053451814</v>
      </c>
      <c r="C662">
        <v>137438.07176137928</v>
      </c>
      <c r="D662">
        <v>54076.666082652395</v>
      </c>
      <c r="E662">
        <v>108712.00215723511</v>
      </c>
      <c r="F662">
        <v>43526.21553396243</v>
      </c>
      <c r="G662">
        <v>10000</v>
      </c>
      <c r="H662">
        <v>333752.95553522924</v>
      </c>
      <c r="I662">
        <v>41.985780538085223</v>
      </c>
    </row>
    <row r="663" spans="1:9" x14ac:dyDescent="0.2">
      <c r="A663">
        <v>653</v>
      </c>
      <c r="B663">
        <v>1211881.3651985608</v>
      </c>
      <c r="C663">
        <v>108258.11267558041</v>
      </c>
      <c r="D663">
        <v>97195.809094835538</v>
      </c>
      <c r="E663">
        <v>95965.65080351221</v>
      </c>
      <c r="F663">
        <v>42643.775824858538</v>
      </c>
      <c r="G663">
        <v>10000</v>
      </c>
      <c r="H663">
        <v>334063.34839878668</v>
      </c>
      <c r="I663">
        <v>44.748500766363598</v>
      </c>
    </row>
    <row r="664" spans="1:9" x14ac:dyDescent="0.2">
      <c r="A664">
        <v>654</v>
      </c>
      <c r="B664">
        <v>1593509.864896243</v>
      </c>
      <c r="C664">
        <v>128350.50263633767</v>
      </c>
      <c r="D664">
        <v>74816.811636047176</v>
      </c>
      <c r="E664">
        <v>195922.46085906483</v>
      </c>
      <c r="F664">
        <v>49563.862674858341</v>
      </c>
      <c r="G664">
        <v>10000</v>
      </c>
      <c r="H664">
        <v>438653.63780630805</v>
      </c>
      <c r="I664">
        <v>34.346793897836321</v>
      </c>
    </row>
    <row r="665" spans="1:9" x14ac:dyDescent="0.2">
      <c r="A665">
        <v>655</v>
      </c>
      <c r="B665">
        <v>953704.84696438885</v>
      </c>
      <c r="C665">
        <v>90372.727009929309</v>
      </c>
      <c r="D665">
        <v>48093.097132515133</v>
      </c>
      <c r="E665">
        <v>92441.099103680986</v>
      </c>
      <c r="F665">
        <v>42399.768399485612</v>
      </c>
      <c r="G665">
        <v>10000</v>
      </c>
      <c r="H665">
        <v>263306.69164561102</v>
      </c>
      <c r="I665">
        <v>28.132489422871089</v>
      </c>
    </row>
    <row r="666" spans="1:9" x14ac:dyDescent="0.2">
      <c r="A666">
        <v>656</v>
      </c>
      <c r="B666">
        <v>1326629.1032264547</v>
      </c>
      <c r="C666">
        <v>104324.02264028051</v>
      </c>
      <c r="D666">
        <v>75820.7048126343</v>
      </c>
      <c r="E666">
        <v>149048.03177508852</v>
      </c>
      <c r="F666">
        <v>46318.709892121515</v>
      </c>
      <c r="G666">
        <v>10000</v>
      </c>
      <c r="H666">
        <v>365511.46912012482</v>
      </c>
      <c r="I666">
        <v>33.936970384626235</v>
      </c>
    </row>
    <row r="667" spans="1:9" x14ac:dyDescent="0.2">
      <c r="A667">
        <v>657</v>
      </c>
      <c r="B667">
        <v>1411927.1201888127</v>
      </c>
      <c r="C667">
        <v>102959.33363072659</v>
      </c>
      <c r="D667">
        <v>39779.65925758794</v>
      </c>
      <c r="E667">
        <v>205895.22997252739</v>
      </c>
      <c r="F667">
        <v>50254.285151944197</v>
      </c>
      <c r="G667">
        <v>10000</v>
      </c>
      <c r="H667">
        <v>388888.5080127861</v>
      </c>
      <c r="I667">
        <v>43.158308169197241</v>
      </c>
    </row>
    <row r="668" spans="1:9" x14ac:dyDescent="0.2">
      <c r="A668">
        <v>658</v>
      </c>
      <c r="B668">
        <v>1463652.7128995017</v>
      </c>
      <c r="C668">
        <v>134140.88704230532</v>
      </c>
      <c r="D668">
        <v>123362.60413939584</v>
      </c>
      <c r="E668">
        <v>111819.727343245</v>
      </c>
      <c r="F668">
        <v>43741.365739147732</v>
      </c>
      <c r="G668">
        <v>10000</v>
      </c>
      <c r="H668">
        <v>403064.58426409389</v>
      </c>
      <c r="I668">
        <v>31.896437020374524</v>
      </c>
    </row>
    <row r="669" spans="1:9" x14ac:dyDescent="0.2">
      <c r="A669">
        <v>659</v>
      </c>
      <c r="B669">
        <v>1580426.5005637619</v>
      </c>
      <c r="C669">
        <v>157347.43290285626</v>
      </c>
      <c r="D669">
        <v>162970.47652161107</v>
      </c>
      <c r="E669">
        <v>83003.654176064752</v>
      </c>
      <c r="F669">
        <v>41746.406827573708</v>
      </c>
      <c r="G669">
        <v>10000</v>
      </c>
      <c r="H669">
        <v>435067.97042810585</v>
      </c>
      <c r="I669">
        <v>39.353073039099556</v>
      </c>
    </row>
    <row r="670" spans="1:9" x14ac:dyDescent="0.2">
      <c r="A670">
        <v>660</v>
      </c>
      <c r="B670">
        <v>1286334.9355229845</v>
      </c>
      <c r="C670">
        <v>161423.89130647946</v>
      </c>
      <c r="D670">
        <v>45878.772444504852</v>
      </c>
      <c r="E670">
        <v>113320.40226626773</v>
      </c>
      <c r="F670">
        <v>43845.258618433916</v>
      </c>
      <c r="G670">
        <v>10000</v>
      </c>
      <c r="H670">
        <v>354468.32463568595</v>
      </c>
      <c r="I670">
        <v>34.733278996563364</v>
      </c>
    </row>
    <row r="671" spans="1:9" x14ac:dyDescent="0.2">
      <c r="A671">
        <v>661</v>
      </c>
      <c r="B671">
        <v>1687707.4998862525</v>
      </c>
      <c r="C671">
        <v>140668.54317513108</v>
      </c>
      <c r="D671">
        <v>100913.4445252</v>
      </c>
      <c r="E671">
        <v>184139.61846562734</v>
      </c>
      <c r="F671">
        <v>48748.127432235735</v>
      </c>
      <c r="G671">
        <v>10000</v>
      </c>
      <c r="H671">
        <v>464469.7335981942</v>
      </c>
      <c r="I671">
        <v>36.28145748731032</v>
      </c>
    </row>
    <row r="672" spans="1:9" x14ac:dyDescent="0.2">
      <c r="A672">
        <v>662</v>
      </c>
      <c r="B672">
        <v>1491510.0290842054</v>
      </c>
      <c r="C672">
        <v>140398.05874966329</v>
      </c>
      <c r="D672">
        <v>56368.502700746343</v>
      </c>
      <c r="E672">
        <v>175764.38186546636</v>
      </c>
      <c r="F672">
        <v>48168.303359916899</v>
      </c>
      <c r="G672">
        <v>10000</v>
      </c>
      <c r="H672">
        <v>410699.24667579291</v>
      </c>
      <c r="I672">
        <v>25.832797690029899</v>
      </c>
    </row>
    <row r="673" spans="1:9" x14ac:dyDescent="0.2">
      <c r="A673">
        <v>663</v>
      </c>
      <c r="B673">
        <v>1796717.3691098858</v>
      </c>
      <c r="C673">
        <v>109464.50624447872</v>
      </c>
      <c r="D673">
        <v>147671.21756065771</v>
      </c>
      <c r="E673">
        <v>197534.15117158054</v>
      </c>
      <c r="F673">
        <v>49675.441234955579</v>
      </c>
      <c r="G673">
        <v>10000</v>
      </c>
      <c r="H673">
        <v>494345.3162116725</v>
      </c>
      <c r="I673">
        <v>35.3754978833772</v>
      </c>
    </row>
    <row r="674" spans="1:9" x14ac:dyDescent="0.2">
      <c r="A674">
        <v>664</v>
      </c>
      <c r="B674">
        <v>1349659.1289954328</v>
      </c>
      <c r="C674">
        <v>101258.58430724168</v>
      </c>
      <c r="D674">
        <v>42340.942600915929</v>
      </c>
      <c r="E674">
        <v>189130.00660896287</v>
      </c>
      <c r="F674">
        <v>49093.615842158972</v>
      </c>
      <c r="G674">
        <v>10000</v>
      </c>
      <c r="H674">
        <v>371823.14935927943</v>
      </c>
      <c r="I674">
        <v>41.330568747578774</v>
      </c>
    </row>
    <row r="675" spans="1:9" x14ac:dyDescent="0.2">
      <c r="A675">
        <v>665</v>
      </c>
      <c r="B675">
        <v>1506114.313616348</v>
      </c>
      <c r="C675">
        <v>138251.13059506216</v>
      </c>
      <c r="D675">
        <v>102932.00918351937</v>
      </c>
      <c r="E675">
        <v>137967.03819629698</v>
      </c>
      <c r="F675">
        <v>45551.564182820563</v>
      </c>
      <c r="G675">
        <v>10000</v>
      </c>
      <c r="H675">
        <v>414701.74215769907</v>
      </c>
      <c r="I675">
        <v>34.012323915490541</v>
      </c>
    </row>
    <row r="676" spans="1:9" x14ac:dyDescent="0.2">
      <c r="A676">
        <v>666</v>
      </c>
      <c r="B676">
        <v>1197693.3654861657</v>
      </c>
      <c r="C676">
        <v>108818.09419379456</v>
      </c>
      <c r="D676">
        <v>105210.89290208837</v>
      </c>
      <c r="E676">
        <v>84309.16573205372</v>
      </c>
      <c r="F676">
        <v>41836.78839683449</v>
      </c>
      <c r="G676">
        <v>10000</v>
      </c>
      <c r="H676">
        <v>330174.9412247712</v>
      </c>
      <c r="I676">
        <v>50.065883718977346</v>
      </c>
    </row>
    <row r="677" spans="1:9" x14ac:dyDescent="0.2">
      <c r="A677">
        <v>667</v>
      </c>
      <c r="B677">
        <v>1152310.7589330163</v>
      </c>
      <c r="C677">
        <v>80668.034178177288</v>
      </c>
      <c r="D677">
        <v>76728.220003794719</v>
      </c>
      <c r="E677">
        <v>125642.65180404231</v>
      </c>
      <c r="F677">
        <v>44698.337432587541</v>
      </c>
      <c r="G677">
        <v>10000</v>
      </c>
      <c r="H677">
        <v>317737.24341860181</v>
      </c>
      <c r="I677">
        <v>24.604613058132372</v>
      </c>
    </row>
    <row r="678" spans="1:9" x14ac:dyDescent="0.2">
      <c r="A678">
        <v>668</v>
      </c>
      <c r="B678">
        <v>1303357.6302510207</v>
      </c>
      <c r="C678">
        <v>121327.72736392589</v>
      </c>
      <c r="D678">
        <v>62278.713308941406</v>
      </c>
      <c r="E678">
        <v>139845.56069776992</v>
      </c>
      <c r="F678">
        <v>45681.615740614841</v>
      </c>
      <c r="G678">
        <v>10000</v>
      </c>
      <c r="H678">
        <v>359133.61711125204</v>
      </c>
      <c r="I678">
        <v>51.958097385635611</v>
      </c>
    </row>
    <row r="679" spans="1:9" x14ac:dyDescent="0.2">
      <c r="A679">
        <v>669</v>
      </c>
      <c r="B679">
        <v>990425.55693483341</v>
      </c>
      <c r="C679">
        <v>104020.2044845583</v>
      </c>
      <c r="D679">
        <v>100106.58173920732</v>
      </c>
      <c r="E679">
        <v>40443.745400136744</v>
      </c>
      <c r="F679">
        <v>38799.951604624854</v>
      </c>
      <c r="G679">
        <v>10000</v>
      </c>
      <c r="H679">
        <v>273370.48322852724</v>
      </c>
      <c r="I679">
        <v>29.794305851124516</v>
      </c>
    </row>
    <row r="680" spans="1:9" x14ac:dyDescent="0.2">
      <c r="A680">
        <v>670</v>
      </c>
      <c r="B680">
        <v>1424577.9262283337</v>
      </c>
      <c r="C680">
        <v>123563.88900419837</v>
      </c>
      <c r="D680">
        <v>46537.585729990169</v>
      </c>
      <c r="E680">
        <v>183547.04899821975</v>
      </c>
      <c r="F680">
        <v>48707.10339218445</v>
      </c>
      <c r="G680">
        <v>10000</v>
      </c>
      <c r="H680">
        <v>392355.62712459278</v>
      </c>
      <c r="I680">
        <v>30.91170506258765</v>
      </c>
    </row>
    <row r="681" spans="1:9" x14ac:dyDescent="0.2">
      <c r="A681">
        <v>671</v>
      </c>
      <c r="B681">
        <v>962797.04321502626</v>
      </c>
      <c r="C681">
        <v>111689.45317124168</v>
      </c>
      <c r="D681">
        <v>37900.012872556887</v>
      </c>
      <c r="E681">
        <v>84368.186626900715</v>
      </c>
      <c r="F681">
        <v>41840.874458785431</v>
      </c>
      <c r="G681">
        <v>10000</v>
      </c>
      <c r="H681">
        <v>265798.52712948469</v>
      </c>
      <c r="I681">
        <v>46.728244107532987</v>
      </c>
    </row>
    <row r="682" spans="1:9" x14ac:dyDescent="0.2">
      <c r="A682">
        <v>672</v>
      </c>
      <c r="B682">
        <v>1100296.8588457233</v>
      </c>
      <c r="C682">
        <v>146443.63780394322</v>
      </c>
      <c r="D682">
        <v>79303.661091685091</v>
      </c>
      <c r="E682">
        <v>48385.11511944473</v>
      </c>
      <c r="F682">
        <v>39349.738739038483</v>
      </c>
      <c r="G682">
        <v>10000</v>
      </c>
      <c r="H682">
        <v>303482.15275411151</v>
      </c>
      <c r="I682">
        <v>32.887331846505802</v>
      </c>
    </row>
    <row r="683" spans="1:9" x14ac:dyDescent="0.2">
      <c r="A683">
        <v>673</v>
      </c>
      <c r="B683">
        <v>1694413.4643069494</v>
      </c>
      <c r="C683">
        <v>108759.637549878</v>
      </c>
      <c r="D683">
        <v>152951.26555640306</v>
      </c>
      <c r="E683">
        <v>167032.87356135205</v>
      </c>
      <c r="F683">
        <v>47563.814323478218</v>
      </c>
      <c r="G683">
        <v>10000</v>
      </c>
      <c r="H683">
        <v>466307.5909911113</v>
      </c>
      <c r="I683">
        <v>50.094463203699277</v>
      </c>
    </row>
    <row r="684" spans="1:9" x14ac:dyDescent="0.2">
      <c r="A684">
        <v>674</v>
      </c>
      <c r="B684">
        <v>1326646.1165022515</v>
      </c>
      <c r="C684">
        <v>141528.69743085591</v>
      </c>
      <c r="D684">
        <v>115483.85039562044</v>
      </c>
      <c r="E684">
        <v>77161.62532817648</v>
      </c>
      <c r="F684">
        <v>41341.958676566064</v>
      </c>
      <c r="G684">
        <v>10000</v>
      </c>
      <c r="H684">
        <v>365516.1318312189</v>
      </c>
      <c r="I684">
        <v>35.931646631448544</v>
      </c>
    </row>
    <row r="685" spans="1:9" x14ac:dyDescent="0.2">
      <c r="A685">
        <v>675</v>
      </c>
      <c r="B685">
        <v>1398925.1003370774</v>
      </c>
      <c r="C685">
        <v>101396.69987800551</v>
      </c>
      <c r="D685">
        <v>47809.751089627331</v>
      </c>
      <c r="E685">
        <v>196513.876362368</v>
      </c>
      <c r="F685">
        <v>49604.806825087013</v>
      </c>
      <c r="G685">
        <v>10000</v>
      </c>
      <c r="H685">
        <v>385325.13415508781</v>
      </c>
      <c r="I685">
        <v>34.2712801670922</v>
      </c>
    </row>
    <row r="686" spans="1:9" x14ac:dyDescent="0.2">
      <c r="A686">
        <v>676</v>
      </c>
      <c r="B686">
        <v>1077645.1656029995</v>
      </c>
      <c r="C686">
        <v>123433.03341172643</v>
      </c>
      <c r="D686">
        <v>40298.566626093976</v>
      </c>
      <c r="E686">
        <v>100579.37215856177</v>
      </c>
      <c r="F686">
        <v>42963.187303285049</v>
      </c>
      <c r="G686">
        <v>10000</v>
      </c>
      <c r="H686">
        <v>297274.15949966724</v>
      </c>
      <c r="I686">
        <v>37.121405294473533</v>
      </c>
    </row>
    <row r="687" spans="1:9" x14ac:dyDescent="0.2">
      <c r="A687">
        <v>677</v>
      </c>
      <c r="B687">
        <v>778896.96843553148</v>
      </c>
      <c r="C687">
        <v>80204.251608049177</v>
      </c>
      <c r="D687">
        <v>80709.488671854022</v>
      </c>
      <c r="E687">
        <v>26640.238210602609</v>
      </c>
      <c r="F687">
        <v>37844.324183810953</v>
      </c>
      <c r="G687">
        <v>10000</v>
      </c>
      <c r="H687">
        <v>215398.30267431674</v>
      </c>
      <c r="I687">
        <v>42.710409465827595</v>
      </c>
    </row>
    <row r="688" spans="1:9" x14ac:dyDescent="0.2">
      <c r="A688">
        <v>678</v>
      </c>
      <c r="B688">
        <v>1060080.5295990389</v>
      </c>
      <c r="C688">
        <v>87510.55232135902</v>
      </c>
      <c r="D688">
        <v>84332.684517096292</v>
      </c>
      <c r="E688">
        <v>88490.816765400785</v>
      </c>
      <c r="F688">
        <v>42126.287314527741</v>
      </c>
      <c r="G688">
        <v>10000</v>
      </c>
      <c r="H688">
        <v>292460.34091838385</v>
      </c>
      <c r="I688">
        <v>32.836918649820063</v>
      </c>
    </row>
    <row r="689" spans="1:9" x14ac:dyDescent="0.2">
      <c r="A689">
        <v>679</v>
      </c>
      <c r="B689">
        <v>1450280.9430082336</v>
      </c>
      <c r="C689">
        <v>112836.94782183507</v>
      </c>
      <c r="D689">
        <v>96347.453088181268</v>
      </c>
      <c r="E689">
        <v>153582.81802226856</v>
      </c>
      <c r="F689">
        <v>46632.6566323109</v>
      </c>
      <c r="G689">
        <v>10000</v>
      </c>
      <c r="H689">
        <v>399399.87556459574</v>
      </c>
      <c r="I689">
        <v>46.135599601413446</v>
      </c>
    </row>
    <row r="690" spans="1:9" x14ac:dyDescent="0.2">
      <c r="A690">
        <v>680</v>
      </c>
      <c r="B690">
        <v>1913177.9725034593</v>
      </c>
      <c r="C690">
        <v>149323.57089099372</v>
      </c>
      <c r="D690">
        <v>135510.10446066957</v>
      </c>
      <c r="E690">
        <v>201480.54187322943</v>
      </c>
      <c r="F690">
        <v>49948.652898915883</v>
      </c>
      <c r="G690">
        <v>10000</v>
      </c>
      <c r="H690">
        <v>526262.87012380862</v>
      </c>
      <c r="I690">
        <v>47.084030274987761</v>
      </c>
    </row>
    <row r="691" spans="1:9" x14ac:dyDescent="0.2">
      <c r="A691">
        <v>681</v>
      </c>
      <c r="B691">
        <v>1751423.7449432942</v>
      </c>
      <c r="C691">
        <v>144457.12346874963</v>
      </c>
      <c r="D691">
        <v>92746.487533364532</v>
      </c>
      <c r="E691">
        <v>204566.12406449026</v>
      </c>
      <c r="F691">
        <v>50162.270127541633</v>
      </c>
      <c r="G691">
        <v>10000</v>
      </c>
      <c r="H691">
        <v>481932.00519414607</v>
      </c>
      <c r="I691">
        <v>32.580352295676832</v>
      </c>
    </row>
    <row r="692" spans="1:9" x14ac:dyDescent="0.2">
      <c r="A692">
        <v>682</v>
      </c>
      <c r="B692">
        <v>1150536.4090683642</v>
      </c>
      <c r="C692">
        <v>132123.29108199078</v>
      </c>
      <c r="D692">
        <v>72902.600344609687</v>
      </c>
      <c r="E692">
        <v>80642.150085980553</v>
      </c>
      <c r="F692">
        <v>41582.918082875578</v>
      </c>
      <c r="G692">
        <v>10000</v>
      </c>
      <c r="H692">
        <v>317250.9595954566</v>
      </c>
      <c r="I692">
        <v>33.181812168770989</v>
      </c>
    </row>
    <row r="693" spans="1:9" x14ac:dyDescent="0.2">
      <c r="A693">
        <v>683</v>
      </c>
      <c r="B693">
        <v>1569846.6712925707</v>
      </c>
      <c r="C693">
        <v>126973.56166584615</v>
      </c>
      <c r="D693">
        <v>78556.711216681768</v>
      </c>
      <c r="E693">
        <v>187647.19695619831</v>
      </c>
      <c r="F693">
        <v>48990.959789275272</v>
      </c>
      <c r="G693">
        <v>10000</v>
      </c>
      <c r="H693">
        <v>432168.42962800147</v>
      </c>
      <c r="I693">
        <v>36.201003182190291</v>
      </c>
    </row>
    <row r="694" spans="1:9" x14ac:dyDescent="0.2">
      <c r="A694">
        <v>684</v>
      </c>
      <c r="B694">
        <v>951369.84543246101</v>
      </c>
      <c r="C694">
        <v>82735.571865083431</v>
      </c>
      <c r="D694">
        <v>118575.48716941563</v>
      </c>
      <c r="E694">
        <v>33066.477201963084</v>
      </c>
      <c r="F694">
        <v>38289.217652443593</v>
      </c>
      <c r="G694">
        <v>10000</v>
      </c>
      <c r="H694">
        <v>262666.75388890575</v>
      </c>
      <c r="I694">
        <v>38.541491855008118</v>
      </c>
    </row>
    <row r="695" spans="1:9" x14ac:dyDescent="0.2">
      <c r="A695">
        <v>685</v>
      </c>
      <c r="B695">
        <v>1050704.8165604633</v>
      </c>
      <c r="C695">
        <v>97123.119795499399</v>
      </c>
      <c r="D695">
        <v>74941.072483768075</v>
      </c>
      <c r="E695">
        <v>85881.003716063744</v>
      </c>
      <c r="F695">
        <v>41945.607949573649</v>
      </c>
      <c r="G695">
        <v>10000</v>
      </c>
      <c r="H695">
        <v>289890.80394490488</v>
      </c>
      <c r="I695">
        <v>27.140575400159108</v>
      </c>
    </row>
    <row r="696" spans="1:9" x14ac:dyDescent="0.2">
      <c r="A696">
        <v>686</v>
      </c>
      <c r="B696">
        <v>1245802.5706797331</v>
      </c>
      <c r="C696">
        <v>103859.53985674393</v>
      </c>
      <c r="D696">
        <v>101747.01303481781</v>
      </c>
      <c r="E696">
        <v>104517.518041228</v>
      </c>
      <c r="F696">
        <v>43235.828172085021</v>
      </c>
      <c r="G696">
        <v>10000</v>
      </c>
      <c r="H696">
        <v>343359.8991048747</v>
      </c>
      <c r="I696">
        <v>39.962322358695573</v>
      </c>
    </row>
    <row r="697" spans="1:9" x14ac:dyDescent="0.2">
      <c r="A697">
        <v>687</v>
      </c>
      <c r="B697">
        <v>1190391.6248409459</v>
      </c>
      <c r="C697">
        <v>101605.76456581145</v>
      </c>
      <c r="D697">
        <v>72454.826851553109</v>
      </c>
      <c r="E697">
        <v>119818.11206955511</v>
      </c>
      <c r="F697">
        <v>44295.100066353814</v>
      </c>
      <c r="G697">
        <v>10000</v>
      </c>
      <c r="H697">
        <v>328173.80355327344</v>
      </c>
      <c r="I697">
        <v>48.392033473234456</v>
      </c>
    </row>
    <row r="698" spans="1:9" x14ac:dyDescent="0.2">
      <c r="A698">
        <v>688</v>
      </c>
      <c r="B698">
        <v>1470966.4461596101</v>
      </c>
      <c r="C698">
        <v>120570.32505982208</v>
      </c>
      <c r="D698">
        <v>82250.499284920035</v>
      </c>
      <c r="E698">
        <v>164836.4313822093</v>
      </c>
      <c r="F698">
        <v>47411.752941845254</v>
      </c>
      <c r="G698">
        <v>10000</v>
      </c>
      <c r="H698">
        <v>405069.00866879668</v>
      </c>
      <c r="I698">
        <v>31.750566605757435</v>
      </c>
    </row>
    <row r="699" spans="1:9" x14ac:dyDescent="0.2">
      <c r="A699">
        <v>689</v>
      </c>
      <c r="B699">
        <v>1187992.1672448991</v>
      </c>
      <c r="C699">
        <v>133715.06222690592</v>
      </c>
      <c r="D699">
        <v>97637.021690676032</v>
      </c>
      <c r="E699">
        <v>65621.116478684067</v>
      </c>
      <c r="F699">
        <v>40543.000371601207</v>
      </c>
      <c r="G699">
        <v>10000</v>
      </c>
      <c r="H699">
        <v>327516.20076786721</v>
      </c>
      <c r="I699">
        <v>30.384982228591838</v>
      </c>
    </row>
    <row r="700" spans="1:9" x14ac:dyDescent="0.2">
      <c r="A700">
        <v>690</v>
      </c>
      <c r="B700">
        <v>1251914.0096125905</v>
      </c>
      <c r="C700">
        <v>96684.095113469579</v>
      </c>
      <c r="D700">
        <v>49846.908861849013</v>
      </c>
      <c r="E700">
        <v>161334.50326047748</v>
      </c>
      <c r="F700">
        <v>47169.311764186903</v>
      </c>
      <c r="G700">
        <v>10000</v>
      </c>
      <c r="H700">
        <v>345034.81899998296</v>
      </c>
      <c r="I700">
        <v>38.754276722372495</v>
      </c>
    </row>
    <row r="701" spans="1:9" x14ac:dyDescent="0.2">
      <c r="A701">
        <v>691</v>
      </c>
      <c r="B701">
        <v>1167507.5535754387</v>
      </c>
      <c r="C701">
        <v>101987.87163487148</v>
      </c>
      <c r="D701">
        <v>103413.596568636</v>
      </c>
      <c r="E701">
        <v>84640.901158594046</v>
      </c>
      <c r="F701">
        <v>41859.754695594973</v>
      </c>
      <c r="G701">
        <v>10000</v>
      </c>
      <c r="H701">
        <v>321902.12405769649</v>
      </c>
      <c r="I701">
        <v>34.775408405426738</v>
      </c>
    </row>
    <row r="702" spans="1:9" x14ac:dyDescent="0.2">
      <c r="A702">
        <v>692</v>
      </c>
      <c r="B702">
        <v>1184869.3064343925</v>
      </c>
      <c r="C702">
        <v>99736.976936676685</v>
      </c>
      <c r="D702">
        <v>97938.826738387012</v>
      </c>
      <c r="E702">
        <v>96316.47268670534</v>
      </c>
      <c r="F702">
        <v>42668.063493694979</v>
      </c>
      <c r="G702">
        <v>10000</v>
      </c>
      <c r="H702">
        <v>326660.33985546406</v>
      </c>
      <c r="I702">
        <v>37.397863055958481</v>
      </c>
    </row>
    <row r="703" spans="1:9" x14ac:dyDescent="0.2">
      <c r="A703">
        <v>693</v>
      </c>
      <c r="B703">
        <v>1124678.3573663116</v>
      </c>
      <c r="C703">
        <v>93744.451784381657</v>
      </c>
      <c r="D703">
        <v>75834.40382605161</v>
      </c>
      <c r="E703">
        <v>107166.1698214981</v>
      </c>
      <c r="F703">
        <v>43419.19637225756</v>
      </c>
      <c r="G703">
        <v>10000</v>
      </c>
      <c r="H703">
        <v>310164.22180418891</v>
      </c>
      <c r="I703">
        <v>26.339849281169275</v>
      </c>
    </row>
    <row r="704" spans="1:9" x14ac:dyDescent="0.2">
      <c r="A704">
        <v>694</v>
      </c>
      <c r="B704">
        <v>1141804.7601504787</v>
      </c>
      <c r="C704">
        <v>121780.97168370079</v>
      </c>
      <c r="D704">
        <v>44609.982935045962</v>
      </c>
      <c r="E704">
        <v>114537.4653784042</v>
      </c>
      <c r="F704">
        <v>43929.516833889516</v>
      </c>
      <c r="G704">
        <v>10000</v>
      </c>
      <c r="H704">
        <v>314857.93683104048</v>
      </c>
      <c r="I704">
        <v>31.650561349338822</v>
      </c>
    </row>
    <row r="705" spans="1:9" x14ac:dyDescent="0.2">
      <c r="A705">
        <v>695</v>
      </c>
      <c r="B705">
        <v>1300816.9988805717</v>
      </c>
      <c r="C705">
        <v>98297.531845223435</v>
      </c>
      <c r="D705">
        <v>81495.617395140565</v>
      </c>
      <c r="E705">
        <v>142760.73880023629</v>
      </c>
      <c r="F705">
        <v>45883.435763093279</v>
      </c>
      <c r="G705">
        <v>10000</v>
      </c>
      <c r="H705">
        <v>358437.32380369358</v>
      </c>
      <c r="I705">
        <v>39.44107613127948</v>
      </c>
    </row>
    <row r="706" spans="1:9" x14ac:dyDescent="0.2">
      <c r="A706">
        <v>696</v>
      </c>
      <c r="B706">
        <v>1343691.6163286285</v>
      </c>
      <c r="C706">
        <v>101134.3102611167</v>
      </c>
      <c r="D706">
        <v>89124.781320842827</v>
      </c>
      <c r="E706">
        <v>143961.98387696658</v>
      </c>
      <c r="F706">
        <v>45966.59888379</v>
      </c>
      <c r="G706">
        <v>10000</v>
      </c>
      <c r="H706">
        <v>370187.67434271611</v>
      </c>
      <c r="I706">
        <v>33.924785884656863</v>
      </c>
    </row>
    <row r="707" spans="1:9" x14ac:dyDescent="0.2">
      <c r="A707">
        <v>697</v>
      </c>
      <c r="B707">
        <v>1529019.5383978018</v>
      </c>
      <c r="C707">
        <v>77662.724669658841</v>
      </c>
      <c r="D707">
        <v>140417.86731107021</v>
      </c>
      <c r="E707">
        <v>165444.7591308596</v>
      </c>
      <c r="F707">
        <v>47453.867939828742</v>
      </c>
      <c r="G707">
        <v>10000</v>
      </c>
      <c r="H707">
        <v>420979.21905141737</v>
      </c>
      <c r="I707">
        <v>32.238674105701541</v>
      </c>
    </row>
    <row r="708" spans="1:9" x14ac:dyDescent="0.2">
      <c r="A708">
        <v>698</v>
      </c>
      <c r="B708">
        <v>922773.51622857281</v>
      </c>
      <c r="C708">
        <v>100445.98864170443</v>
      </c>
      <c r="D708">
        <v>98859.603088224831</v>
      </c>
      <c r="E708">
        <v>27612.340009686221</v>
      </c>
      <c r="F708">
        <v>37911.623539132124</v>
      </c>
      <c r="G708">
        <v>10000</v>
      </c>
      <c r="H708">
        <v>254829.55527874758</v>
      </c>
      <c r="I708">
        <v>37.988462209061467</v>
      </c>
    </row>
    <row r="709" spans="1:9" x14ac:dyDescent="0.2">
      <c r="A709">
        <v>699</v>
      </c>
      <c r="B709">
        <v>1112308.217269805</v>
      </c>
      <c r="C709">
        <v>97346.194445706176</v>
      </c>
      <c r="D709">
        <v>111718.2226532153</v>
      </c>
      <c r="E709">
        <v>67066.53777206612</v>
      </c>
      <c r="F709">
        <v>40643.06799960458</v>
      </c>
      <c r="G709">
        <v>10000</v>
      </c>
      <c r="H709">
        <v>306774.02287059219</v>
      </c>
      <c r="I709">
        <v>27.397120238952255</v>
      </c>
    </row>
    <row r="710" spans="1:9" x14ac:dyDescent="0.2">
      <c r="A710">
        <v>700</v>
      </c>
      <c r="B710">
        <v>1495721.3938423083</v>
      </c>
      <c r="C710">
        <v>102321.32875066248</v>
      </c>
      <c r="D710">
        <v>69073.600661498189</v>
      </c>
      <c r="E710">
        <v>200572.69498126992</v>
      </c>
      <c r="F710">
        <v>49885.801960241763</v>
      </c>
      <c r="G710">
        <v>10000</v>
      </c>
      <c r="H710">
        <v>411853.42635367229</v>
      </c>
      <c r="I710">
        <v>36.038205027482007</v>
      </c>
    </row>
    <row r="711" spans="1:9" x14ac:dyDescent="0.2">
      <c r="A711">
        <v>701</v>
      </c>
      <c r="B711">
        <v>1472454.9927962355</v>
      </c>
      <c r="C711">
        <v>85278.928568449497</v>
      </c>
      <c r="D711">
        <v>85302.051040665348</v>
      </c>
      <c r="E711">
        <v>195370.34546307501</v>
      </c>
      <c r="F711">
        <v>49525.639301289804</v>
      </c>
      <c r="G711">
        <v>10000</v>
      </c>
      <c r="H711">
        <v>405476.96437347966</v>
      </c>
      <c r="I711">
        <v>28.137713277898641</v>
      </c>
    </row>
    <row r="712" spans="1:9" x14ac:dyDescent="0.2">
      <c r="A712">
        <v>702</v>
      </c>
      <c r="B712">
        <v>1295261.3015434491</v>
      </c>
      <c r="C712">
        <v>101493.43429163966</v>
      </c>
      <c r="D712">
        <v>152392.2899745226</v>
      </c>
      <c r="E712">
        <v>72041.499480954386</v>
      </c>
      <c r="F712">
        <v>40987.488425604533</v>
      </c>
      <c r="G712">
        <v>10000</v>
      </c>
      <c r="H712">
        <v>356914.71217272116</v>
      </c>
      <c r="I712">
        <v>31.738734237991792</v>
      </c>
    </row>
    <row r="713" spans="1:9" x14ac:dyDescent="0.2">
      <c r="A713">
        <v>703</v>
      </c>
      <c r="B713">
        <v>720961.40347537037</v>
      </c>
      <c r="C713">
        <v>88565.655161802744</v>
      </c>
      <c r="D713">
        <v>36508.759345942548</v>
      </c>
      <c r="E713">
        <v>45309.103580018593</v>
      </c>
      <c r="F713">
        <v>39136.78409400129</v>
      </c>
      <c r="G713">
        <v>10000</v>
      </c>
      <c r="H713">
        <v>199520.30218176518</v>
      </c>
      <c r="I713">
        <v>43.719392554119295</v>
      </c>
    </row>
    <row r="714" spans="1:9" x14ac:dyDescent="0.2">
      <c r="A714">
        <v>704</v>
      </c>
      <c r="B714">
        <v>1228774.4336358882</v>
      </c>
      <c r="C714">
        <v>97631.43381999855</v>
      </c>
      <c r="D714">
        <v>96340.382599290664</v>
      </c>
      <c r="E714">
        <v>111034.30811057978</v>
      </c>
      <c r="F714">
        <v>43686.990561501683</v>
      </c>
      <c r="G714">
        <v>10000</v>
      </c>
      <c r="H714">
        <v>338693.11509137071</v>
      </c>
      <c r="I714">
        <v>34.539776503755078</v>
      </c>
    </row>
    <row r="715" spans="1:9" x14ac:dyDescent="0.2">
      <c r="A715">
        <v>705</v>
      </c>
      <c r="B715">
        <v>1192143.029201499</v>
      </c>
      <c r="C715">
        <v>122510.38683150669</v>
      </c>
      <c r="D715">
        <v>69169.538358674239</v>
      </c>
      <c r="E715">
        <v>103788.51494341739</v>
      </c>
      <c r="F715">
        <v>43185.35872685197</v>
      </c>
      <c r="G715">
        <v>10000</v>
      </c>
      <c r="H715">
        <v>328653.79886045033</v>
      </c>
      <c r="I715">
        <v>33.80892514320135</v>
      </c>
    </row>
    <row r="716" spans="1:9" x14ac:dyDescent="0.2">
      <c r="A716">
        <v>706</v>
      </c>
      <c r="B716">
        <v>1451889.4121706483</v>
      </c>
      <c r="C716">
        <v>96557.4916598907</v>
      </c>
      <c r="D716">
        <v>62491.669415157055</v>
      </c>
      <c r="E716">
        <v>200884.17085850475</v>
      </c>
      <c r="F716">
        <v>49907.365674819557</v>
      </c>
      <c r="G716">
        <v>10000</v>
      </c>
      <c r="H716">
        <v>399840.69760837208</v>
      </c>
      <c r="I716">
        <v>42.479586426408815</v>
      </c>
    </row>
    <row r="717" spans="1:9" x14ac:dyDescent="0.2">
      <c r="A717">
        <v>707</v>
      </c>
      <c r="B717">
        <v>1769493.8234964996</v>
      </c>
      <c r="C717">
        <v>145630.69647454898</v>
      </c>
      <c r="D717">
        <v>131101.80931817152</v>
      </c>
      <c r="E717">
        <v>172228.34062917525</v>
      </c>
      <c r="F717">
        <v>47923.500505096745</v>
      </c>
      <c r="G717">
        <v>10000</v>
      </c>
      <c r="H717">
        <v>486884.34692699247</v>
      </c>
      <c r="I717">
        <v>25.874886964413108</v>
      </c>
    </row>
    <row r="718" spans="1:9" x14ac:dyDescent="0.2">
      <c r="A718">
        <v>708</v>
      </c>
      <c r="B718">
        <v>1270265.0891975444</v>
      </c>
      <c r="C718">
        <v>124196.75906288926</v>
      </c>
      <c r="D718">
        <v>135313.73589241644</v>
      </c>
      <c r="E718">
        <v>60373.943257947984</v>
      </c>
      <c r="F718">
        <v>40179.734533242547</v>
      </c>
      <c r="G718">
        <v>10000</v>
      </c>
      <c r="H718">
        <v>350064.17274649622</v>
      </c>
      <c r="I718">
        <v>26.287623238819933</v>
      </c>
    </row>
    <row r="719" spans="1:9" x14ac:dyDescent="0.2">
      <c r="A719">
        <v>709</v>
      </c>
      <c r="B719">
        <v>770417.66321813432</v>
      </c>
      <c r="C719">
        <v>89531.812540324478</v>
      </c>
      <c r="D719">
        <v>53909.885036641987</v>
      </c>
      <c r="E719">
        <v>40807.598962914934</v>
      </c>
      <c r="F719">
        <v>38825.141466663335</v>
      </c>
      <c r="G719">
        <v>10000</v>
      </c>
      <c r="H719">
        <v>213074.43800654472</v>
      </c>
      <c r="I719">
        <v>30.546131302952183</v>
      </c>
    </row>
    <row r="720" spans="1:9" x14ac:dyDescent="0.2">
      <c r="A720">
        <v>710</v>
      </c>
      <c r="B720">
        <v>1830778.9365443592</v>
      </c>
      <c r="C720">
        <v>128119.86245529322</v>
      </c>
      <c r="D720">
        <v>166900.11494261463</v>
      </c>
      <c r="E720">
        <v>170833.42792614183</v>
      </c>
      <c r="F720">
        <v>47826.929625655976</v>
      </c>
      <c r="G720">
        <v>10000</v>
      </c>
      <c r="H720">
        <v>503680.33494970569</v>
      </c>
      <c r="I720">
        <v>46.142180276530681</v>
      </c>
    </row>
    <row r="721" spans="1:9" x14ac:dyDescent="0.2">
      <c r="A721">
        <v>711</v>
      </c>
      <c r="B721">
        <v>1088813.2780227051</v>
      </c>
      <c r="C721">
        <v>81120.98843810166</v>
      </c>
      <c r="D721">
        <v>86653.881761095385</v>
      </c>
      <c r="E721">
        <v>99660.484780271523</v>
      </c>
      <c r="F721">
        <v>42899.572023249566</v>
      </c>
      <c r="G721">
        <v>10000</v>
      </c>
      <c r="H721">
        <v>300334.92700271815</v>
      </c>
      <c r="I721">
        <v>35.779245402566609</v>
      </c>
    </row>
    <row r="722" spans="1:9" x14ac:dyDescent="0.2">
      <c r="A722">
        <v>712</v>
      </c>
      <c r="B722">
        <v>855448.55530745117</v>
      </c>
      <c r="C722">
        <v>107498.19710679325</v>
      </c>
      <c r="D722">
        <v>74195.202936173766</v>
      </c>
      <c r="E722">
        <v>26827.574188002869</v>
      </c>
      <c r="F722">
        <v>37857.293597630967</v>
      </c>
      <c r="G722">
        <v>10000</v>
      </c>
      <c r="H722">
        <v>236378.26782860083</v>
      </c>
      <c r="I722">
        <v>42.042643101952152</v>
      </c>
    </row>
    <row r="723" spans="1:9" x14ac:dyDescent="0.2">
      <c r="A723">
        <v>713</v>
      </c>
      <c r="B723">
        <v>1635290.454468511</v>
      </c>
      <c r="C723">
        <v>125803.56632527032</v>
      </c>
      <c r="D723">
        <v>118526.57992799408</v>
      </c>
      <c r="E723">
        <v>168133.96564620303</v>
      </c>
      <c r="F723">
        <v>47640.043775506361</v>
      </c>
      <c r="G723">
        <v>10000</v>
      </c>
      <c r="H723">
        <v>450104.15567497379</v>
      </c>
      <c r="I723">
        <v>46.112259457146301</v>
      </c>
    </row>
    <row r="724" spans="1:9" x14ac:dyDescent="0.2">
      <c r="A724">
        <v>714</v>
      </c>
      <c r="B724">
        <v>1520170.6619555757</v>
      </c>
      <c r="C724">
        <v>97087.667790075851</v>
      </c>
      <c r="D724">
        <v>83930.861034852758</v>
      </c>
      <c r="E724">
        <v>197838.99398594061</v>
      </c>
      <c r="F724">
        <v>49696.545737488195</v>
      </c>
      <c r="G724">
        <v>10000</v>
      </c>
      <c r="H724">
        <v>418554.06854835746</v>
      </c>
      <c r="I724">
        <v>39.098128371392711</v>
      </c>
    </row>
    <row r="725" spans="1:9" x14ac:dyDescent="0.2">
      <c r="A725">
        <v>715</v>
      </c>
      <c r="B725">
        <v>984194.68303893902</v>
      </c>
      <c r="C725">
        <v>133307.34256688869</v>
      </c>
      <c r="D725">
        <v>56602.008891243575</v>
      </c>
      <c r="E725">
        <v>52143.541659638788</v>
      </c>
      <c r="F725">
        <v>39609.937499513457</v>
      </c>
      <c r="G725">
        <v>10000</v>
      </c>
      <c r="H725">
        <v>271662.83061728452</v>
      </c>
      <c r="I725">
        <v>34.321485545942458</v>
      </c>
    </row>
    <row r="726" spans="1:9" x14ac:dyDescent="0.2">
      <c r="A726">
        <v>716</v>
      </c>
      <c r="B726">
        <v>1413490.0074655646</v>
      </c>
      <c r="C726">
        <v>110677.83942702541</v>
      </c>
      <c r="D726">
        <v>108053.65861630457</v>
      </c>
      <c r="E726">
        <v>135223.69900035157</v>
      </c>
      <c r="F726">
        <v>45361.640700024334</v>
      </c>
      <c r="G726">
        <v>10000</v>
      </c>
      <c r="H726">
        <v>389316.83774370584</v>
      </c>
      <c r="I726">
        <v>38.822512578493011</v>
      </c>
    </row>
    <row r="727" spans="1:9" x14ac:dyDescent="0.2">
      <c r="A727">
        <v>717</v>
      </c>
      <c r="B727">
        <v>1165516.3958861614</v>
      </c>
      <c r="C727">
        <v>126368.72108177743</v>
      </c>
      <c r="D727">
        <v>67060.649633915105</v>
      </c>
      <c r="E727">
        <v>95327.457297005021</v>
      </c>
      <c r="F727">
        <v>42599.593197484959</v>
      </c>
      <c r="G727">
        <v>10000</v>
      </c>
      <c r="H727">
        <v>321356.42121018248</v>
      </c>
      <c r="I727">
        <v>36.146688630833424</v>
      </c>
    </row>
    <row r="728" spans="1:9" x14ac:dyDescent="0.2">
      <c r="A728">
        <v>718</v>
      </c>
      <c r="B728">
        <v>1247131.4215653925</v>
      </c>
      <c r="C728">
        <v>123888.41135642599</v>
      </c>
      <c r="D728">
        <v>68519.736632921122</v>
      </c>
      <c r="E728">
        <v>117201.95837416037</v>
      </c>
      <c r="F728">
        <v>44113.98173359572</v>
      </c>
      <c r="G728">
        <v>10000</v>
      </c>
      <c r="H728">
        <v>343724.08809710317</v>
      </c>
      <c r="I728">
        <v>32.213345951367273</v>
      </c>
    </row>
    <row r="729" spans="1:9" x14ac:dyDescent="0.2">
      <c r="A729">
        <v>719</v>
      </c>
      <c r="B729">
        <v>1115122.936502876</v>
      </c>
      <c r="C729">
        <v>126407.92599241952</v>
      </c>
      <c r="D729">
        <v>102419.78094742168</v>
      </c>
      <c r="E729">
        <v>49304.348625644212</v>
      </c>
      <c r="F729">
        <v>39413.377981775368</v>
      </c>
      <c r="G729">
        <v>10000</v>
      </c>
      <c r="H729">
        <v>307545.43354726082</v>
      </c>
      <c r="I729">
        <v>31.684970148834463</v>
      </c>
    </row>
    <row r="730" spans="1:9" x14ac:dyDescent="0.2">
      <c r="A730">
        <v>720</v>
      </c>
      <c r="B730">
        <v>1346579.901714921</v>
      </c>
      <c r="C730">
        <v>118208.86167534694</v>
      </c>
      <c r="D730">
        <v>55899.86145560375</v>
      </c>
      <c r="E730">
        <v>159806.96457072382</v>
      </c>
      <c r="F730">
        <v>47063.559085665496</v>
      </c>
      <c r="G730">
        <v>10000</v>
      </c>
      <c r="H730">
        <v>370979.24678734003</v>
      </c>
      <c r="I730">
        <v>41.876031511615707</v>
      </c>
    </row>
    <row r="731" spans="1:9" x14ac:dyDescent="0.2">
      <c r="A731">
        <v>721</v>
      </c>
      <c r="B731">
        <v>1410168.3336807895</v>
      </c>
      <c r="C731">
        <v>120376.73565828017</v>
      </c>
      <c r="D731">
        <v>42114.904806475584</v>
      </c>
      <c r="E731">
        <v>186970.72214865455</v>
      </c>
      <c r="F731">
        <v>48944.126917983776</v>
      </c>
      <c r="G731">
        <v>10000</v>
      </c>
      <c r="H731">
        <v>388406.48953139409</v>
      </c>
      <c r="I731">
        <v>39.435707134586011</v>
      </c>
    </row>
    <row r="732" spans="1:9" x14ac:dyDescent="0.2">
      <c r="A732">
        <v>722</v>
      </c>
      <c r="B732">
        <v>1500156.4123606118</v>
      </c>
      <c r="C732">
        <v>93842.232195403834</v>
      </c>
      <c r="D732">
        <v>113947.94400493531</v>
      </c>
      <c r="E732">
        <v>167670.75006911746</v>
      </c>
      <c r="F732">
        <v>47607.975004785054</v>
      </c>
      <c r="G732">
        <v>10000</v>
      </c>
      <c r="H732">
        <v>413068.90127424168</v>
      </c>
      <c r="I732">
        <v>32.166925236372975</v>
      </c>
    </row>
    <row r="733" spans="1:9" x14ac:dyDescent="0.2">
      <c r="A733">
        <v>723</v>
      </c>
      <c r="B733">
        <v>1016354.0197459303</v>
      </c>
      <c r="C733">
        <v>88620.071836614487</v>
      </c>
      <c r="D733">
        <v>70285.720187348576</v>
      </c>
      <c r="E733">
        <v>89382.693458548136</v>
      </c>
      <c r="F733">
        <v>42188.032624053332</v>
      </c>
      <c r="G733">
        <v>10000</v>
      </c>
      <c r="H733">
        <v>280476.51810656453</v>
      </c>
      <c r="I733">
        <v>32.423251957009093</v>
      </c>
    </row>
    <row r="734" spans="1:9" x14ac:dyDescent="0.2">
      <c r="A734">
        <v>724</v>
      </c>
      <c r="B734">
        <v>1473172.2322068145</v>
      </c>
      <c r="C734">
        <v>158283.13627861065</v>
      </c>
      <c r="D734">
        <v>73737.29694057515</v>
      </c>
      <c r="E734">
        <v>138092.82734757138</v>
      </c>
      <c r="F734">
        <v>45560.272662524178</v>
      </c>
      <c r="G734">
        <v>10000</v>
      </c>
      <c r="H734">
        <v>405673.53322928137</v>
      </c>
      <c r="I734">
        <v>34.381015740520681</v>
      </c>
    </row>
    <row r="735" spans="1:9" x14ac:dyDescent="0.2">
      <c r="A735">
        <v>725</v>
      </c>
      <c r="B735">
        <v>1311803.6819171768</v>
      </c>
      <c r="C735">
        <v>130991.59191395516</v>
      </c>
      <c r="D735">
        <v>68356.837141051088</v>
      </c>
      <c r="E735">
        <v>127287.71287662779</v>
      </c>
      <c r="F735">
        <v>44812.226276074231</v>
      </c>
      <c r="G735">
        <v>10000</v>
      </c>
      <c r="H735">
        <v>361448.36820770829</v>
      </c>
      <c r="I735">
        <v>27.065289731109146</v>
      </c>
    </row>
    <row r="736" spans="1:9" x14ac:dyDescent="0.2">
      <c r="A736">
        <v>726</v>
      </c>
      <c r="B736">
        <v>1006557.3665203777</v>
      </c>
      <c r="C736">
        <v>103253.82311861383</v>
      </c>
      <c r="D736">
        <v>96521.874942928465</v>
      </c>
      <c r="E736">
        <v>48647.981704363861</v>
      </c>
      <c r="F736">
        <v>39367.937194917497</v>
      </c>
      <c r="G736">
        <v>10000</v>
      </c>
      <c r="H736">
        <v>277791.61696082365</v>
      </c>
      <c r="I736">
        <v>42.025030613427774</v>
      </c>
    </row>
    <row r="737" spans="1:9" x14ac:dyDescent="0.2">
      <c r="A737">
        <v>727</v>
      </c>
      <c r="B737">
        <v>1002409.2331373678</v>
      </c>
      <c r="C737">
        <v>115232.69755363418</v>
      </c>
      <c r="D737">
        <v>56820.561301978174</v>
      </c>
      <c r="E737">
        <v>73512.201552627157</v>
      </c>
      <c r="F737">
        <v>41089.306261335732</v>
      </c>
      <c r="G737">
        <v>10000</v>
      </c>
      <c r="H737">
        <v>276654.76666957524</v>
      </c>
      <c r="I737">
        <v>43.681198329583694</v>
      </c>
    </row>
    <row r="738" spans="1:9" x14ac:dyDescent="0.2">
      <c r="A738">
        <v>728</v>
      </c>
      <c r="B738">
        <v>1170892.2775729334</v>
      </c>
      <c r="C738">
        <v>83779.50236620495</v>
      </c>
      <c r="D738">
        <v>112566.39142922443</v>
      </c>
      <c r="E738">
        <v>93977.709118470972</v>
      </c>
      <c r="F738">
        <v>42506.149092817221</v>
      </c>
      <c r="G738">
        <v>10000</v>
      </c>
      <c r="H738">
        <v>322829.75200671755</v>
      </c>
      <c r="I738">
        <v>50.44423409580002</v>
      </c>
    </row>
    <row r="739" spans="1:9" x14ac:dyDescent="0.2">
      <c r="A739">
        <v>729</v>
      </c>
      <c r="B739">
        <v>1268926.1614511916</v>
      </c>
      <c r="C739">
        <v>117543.16904640454</v>
      </c>
      <c r="D739">
        <v>39152.643877234521</v>
      </c>
      <c r="E739">
        <v>156188.36825571407</v>
      </c>
      <c r="F739">
        <v>46813.040879241744</v>
      </c>
      <c r="G739">
        <v>10000</v>
      </c>
      <c r="H739">
        <v>349697.22205859493</v>
      </c>
      <c r="I739">
        <v>33.583192640671307</v>
      </c>
    </row>
    <row r="740" spans="1:9" x14ac:dyDescent="0.2">
      <c r="A740">
        <v>730</v>
      </c>
      <c r="B740">
        <v>1340109.3175505036</v>
      </c>
      <c r="C740">
        <v>84399.592737148851</v>
      </c>
      <c r="D740">
        <v>64357.878504107932</v>
      </c>
      <c r="E740">
        <v>181858.24126218012</v>
      </c>
      <c r="F740">
        <v>48590.185933535548</v>
      </c>
      <c r="G740">
        <v>10000</v>
      </c>
      <c r="H740">
        <v>369205.89843697246</v>
      </c>
      <c r="I740">
        <v>30.779251113510483</v>
      </c>
    </row>
    <row r="741" spans="1:9" x14ac:dyDescent="0.2">
      <c r="A741">
        <v>731</v>
      </c>
      <c r="B741">
        <v>1374368.3189601409</v>
      </c>
      <c r="C741">
        <v>125361.53873199623</v>
      </c>
      <c r="D741">
        <v>41409.283449540155</v>
      </c>
      <c r="E741">
        <v>173792.42134445484</v>
      </c>
      <c r="F741">
        <v>48031.783016154564</v>
      </c>
      <c r="G741">
        <v>10000</v>
      </c>
      <c r="H741">
        <v>378595.02654214576</v>
      </c>
      <c r="I741">
        <v>42.384965690318936</v>
      </c>
    </row>
    <row r="742" spans="1:9" x14ac:dyDescent="0.2">
      <c r="A742">
        <v>732</v>
      </c>
      <c r="B742">
        <v>1484039.8680417957</v>
      </c>
      <c r="C742">
        <v>131843.46459624491</v>
      </c>
      <c r="D742">
        <v>86630.343009090706</v>
      </c>
      <c r="E742">
        <v>153547.9040703575</v>
      </c>
      <c r="F742">
        <v>46630.23951256321</v>
      </c>
      <c r="G742">
        <v>10000</v>
      </c>
      <c r="H742">
        <v>408651.95118825632</v>
      </c>
      <c r="I742">
        <v>25.806971409735866</v>
      </c>
    </row>
    <row r="743" spans="1:9" x14ac:dyDescent="0.2">
      <c r="A743">
        <v>733</v>
      </c>
      <c r="B743">
        <v>1053628.9507883827</v>
      </c>
      <c r="C743">
        <v>112743.402904888</v>
      </c>
      <c r="D743">
        <v>88926.745007473364</v>
      </c>
      <c r="E743">
        <v>58941.488718239474</v>
      </c>
      <c r="F743">
        <v>40080.564603570419</v>
      </c>
      <c r="G743">
        <v>10000</v>
      </c>
      <c r="H743">
        <v>290692.20123417128</v>
      </c>
      <c r="I743">
        <v>32.336619539183822</v>
      </c>
    </row>
    <row r="744" spans="1:9" x14ac:dyDescent="0.2">
      <c r="A744">
        <v>734</v>
      </c>
      <c r="B744">
        <v>1083256.8326757858</v>
      </c>
      <c r="C744">
        <v>90228.58216204468</v>
      </c>
      <c r="D744">
        <v>62328.128859900193</v>
      </c>
      <c r="E744">
        <v>112469.07852682946</v>
      </c>
      <c r="F744">
        <v>43786.320821088193</v>
      </c>
      <c r="G744">
        <v>10000</v>
      </c>
      <c r="H744">
        <v>298812.11036986258</v>
      </c>
      <c r="I744">
        <v>31.57246405428991</v>
      </c>
    </row>
    <row r="745" spans="1:9" x14ac:dyDescent="0.2">
      <c r="A745">
        <v>735</v>
      </c>
      <c r="B745">
        <v>1583225.0911979266</v>
      </c>
      <c r="C745">
        <v>123849.30209995508</v>
      </c>
      <c r="D745">
        <v>129780.16634600984</v>
      </c>
      <c r="E745">
        <v>146091.46771691198</v>
      </c>
      <c r="F745">
        <v>46114.024688093908</v>
      </c>
      <c r="G745">
        <v>10000</v>
      </c>
      <c r="H745">
        <v>435834.96085097082</v>
      </c>
      <c r="I745">
        <v>29.07918295591492</v>
      </c>
    </row>
    <row r="746" spans="1:9" x14ac:dyDescent="0.2">
      <c r="A746">
        <v>736</v>
      </c>
      <c r="B746">
        <v>1561859.3190521044</v>
      </c>
      <c r="C746">
        <v>116939.01873317965</v>
      </c>
      <c r="D746">
        <v>140425.30755993159</v>
      </c>
      <c r="E746">
        <v>137122.00307344602</v>
      </c>
      <c r="F746">
        <v>45493.061751238572</v>
      </c>
      <c r="G746">
        <v>10000</v>
      </c>
      <c r="H746">
        <v>429979.39111779589</v>
      </c>
      <c r="I746">
        <v>36.159062260464736</v>
      </c>
    </row>
    <row r="747" spans="1:9" x14ac:dyDescent="0.2">
      <c r="A747">
        <v>737</v>
      </c>
      <c r="B747">
        <v>1325294.1109988822</v>
      </c>
      <c r="C747">
        <v>123216.40455704559</v>
      </c>
      <c r="D747">
        <v>75277.121788367192</v>
      </c>
      <c r="E747">
        <v>131545.10206292849</v>
      </c>
      <c r="F747">
        <v>45106.968604356582</v>
      </c>
      <c r="G747">
        <v>10000</v>
      </c>
      <c r="H747">
        <v>365145.59701269784</v>
      </c>
      <c r="I747">
        <v>40.052482108927357</v>
      </c>
    </row>
    <row r="748" spans="1:9" x14ac:dyDescent="0.2">
      <c r="A748">
        <v>738</v>
      </c>
      <c r="B748">
        <v>1539439.4727561336</v>
      </c>
      <c r="C748">
        <v>104298.742084468</v>
      </c>
      <c r="D748">
        <v>99293.49968162812</v>
      </c>
      <c r="E748">
        <v>181665.83153025838</v>
      </c>
      <c r="F748">
        <v>48576.865259787119</v>
      </c>
      <c r="G748">
        <v>10000</v>
      </c>
      <c r="H748">
        <v>423834.93855614163</v>
      </c>
      <c r="I748">
        <v>41.223150769829829</v>
      </c>
    </row>
    <row r="749" spans="1:9" x14ac:dyDescent="0.2">
      <c r="A749">
        <v>739</v>
      </c>
      <c r="B749">
        <v>994877.94150903518</v>
      </c>
      <c r="C749">
        <v>122035.04485549661</v>
      </c>
      <c r="D749">
        <v>69878.343555381754</v>
      </c>
      <c r="E749">
        <v>53007.574009580218</v>
      </c>
      <c r="F749">
        <v>39669.755123740171</v>
      </c>
      <c r="G749">
        <v>10000</v>
      </c>
      <c r="H749">
        <v>274590.71754419873</v>
      </c>
      <c r="I749">
        <v>36.002225169936452</v>
      </c>
    </row>
    <row r="750" spans="1:9" x14ac:dyDescent="0.2">
      <c r="A750">
        <v>740</v>
      </c>
      <c r="B750">
        <v>1354359.1906798072</v>
      </c>
      <c r="C750">
        <v>90325.238092506755</v>
      </c>
      <c r="D750">
        <v>160656.97208469783</v>
      </c>
      <c r="E750">
        <v>89904.869388806575</v>
      </c>
      <c r="F750">
        <v>42224.18326537891</v>
      </c>
      <c r="G750">
        <v>10000</v>
      </c>
      <c r="H750">
        <v>373111.26283139008</v>
      </c>
      <c r="I750">
        <v>31.595984173948569</v>
      </c>
    </row>
    <row r="751" spans="1:9" x14ac:dyDescent="0.2">
      <c r="A751">
        <v>741</v>
      </c>
      <c r="B751">
        <v>1209678.0294829668</v>
      </c>
      <c r="C751">
        <v>134563.87227174675</v>
      </c>
      <c r="D751">
        <v>86983.459834895039</v>
      </c>
      <c r="E751">
        <v>80349.505223220345</v>
      </c>
      <c r="F751">
        <v>41562.658053915249</v>
      </c>
      <c r="G751">
        <v>10000</v>
      </c>
      <c r="H751">
        <v>333459.49538377736</v>
      </c>
      <c r="I751">
        <v>40.998144147241049</v>
      </c>
    </row>
    <row r="752" spans="1:9" x14ac:dyDescent="0.2">
      <c r="A752">
        <v>742</v>
      </c>
      <c r="B752">
        <v>1108117.7615485028</v>
      </c>
      <c r="C752">
        <v>127226.10134900571</v>
      </c>
      <c r="D752">
        <v>72187.327027110601</v>
      </c>
      <c r="E752">
        <v>75018.553075995136</v>
      </c>
      <c r="F752">
        <v>41193.592136030435</v>
      </c>
      <c r="G752">
        <v>10000</v>
      </c>
      <c r="H752">
        <v>305625.57358814188</v>
      </c>
      <c r="I752">
        <v>34.15479335314469</v>
      </c>
    </row>
    <row r="753" spans="1:9" x14ac:dyDescent="0.2">
      <c r="A753">
        <v>743</v>
      </c>
      <c r="B753">
        <v>1642460.6719490115</v>
      </c>
      <c r="C753">
        <v>85680.459777043317</v>
      </c>
      <c r="D753">
        <v>173376.58072206847</v>
      </c>
      <c r="E753">
        <v>156198.46716659679</v>
      </c>
      <c r="F753">
        <v>46813.74003461055</v>
      </c>
      <c r="G753">
        <v>10000</v>
      </c>
      <c r="H753">
        <v>452069.2477003191</v>
      </c>
      <c r="I753">
        <v>35.85771301320176</v>
      </c>
    </row>
    <row r="754" spans="1:9" x14ac:dyDescent="0.2">
      <c r="A754">
        <v>744</v>
      </c>
      <c r="B754">
        <v>1623505.3310950384</v>
      </c>
      <c r="C754">
        <v>126482.12976232321</v>
      </c>
      <c r="D754">
        <v>103162.38252710628</v>
      </c>
      <c r="E754">
        <v>178847.99189400306</v>
      </c>
      <c r="F754">
        <v>48381.784054200209</v>
      </c>
      <c r="G754">
        <v>10000</v>
      </c>
      <c r="H754">
        <v>446874.28823763278</v>
      </c>
      <c r="I754">
        <v>36.562864376036842</v>
      </c>
    </row>
    <row r="755" spans="1:9" x14ac:dyDescent="0.2">
      <c r="A755">
        <v>745</v>
      </c>
      <c r="B755">
        <v>1474154.0171783851</v>
      </c>
      <c r="C755">
        <v>89465.417325445334</v>
      </c>
      <c r="D755">
        <v>101962.14164639331</v>
      </c>
      <c r="E755">
        <v>176309.03516293093</v>
      </c>
      <c r="F755">
        <v>48206.010126664449</v>
      </c>
      <c r="G755">
        <v>10000</v>
      </c>
      <c r="H755">
        <v>405942.60426143405</v>
      </c>
      <c r="I755">
        <v>40.678619949324784</v>
      </c>
    </row>
    <row r="756" spans="1:9" x14ac:dyDescent="0.2">
      <c r="A756">
        <v>746</v>
      </c>
      <c r="B756">
        <v>1222937.5141413743</v>
      </c>
      <c r="C756">
        <v>152867.85358789706</v>
      </c>
      <c r="D756">
        <v>88768.175048716701</v>
      </c>
      <c r="E756">
        <v>64960.160338172776</v>
      </c>
      <c r="F756">
        <v>40497.241869565805</v>
      </c>
      <c r="G756">
        <v>10000</v>
      </c>
      <c r="H756">
        <v>337093.43084435235</v>
      </c>
      <c r="I756">
        <v>37.201105192184741</v>
      </c>
    </row>
    <row r="757" spans="1:9" x14ac:dyDescent="0.2">
      <c r="A757">
        <v>747</v>
      </c>
      <c r="B757">
        <v>1043839.4029918533</v>
      </c>
      <c r="C757">
        <v>130660.75688642157</v>
      </c>
      <c r="D757">
        <v>43352.836994401878</v>
      </c>
      <c r="E757">
        <v>82298.093242128802</v>
      </c>
      <c r="F757">
        <v>41697.560301378151</v>
      </c>
      <c r="G757">
        <v>10000</v>
      </c>
      <c r="H757">
        <v>288009.24742433039</v>
      </c>
      <c r="I757">
        <v>26.116416840304733</v>
      </c>
    </row>
    <row r="758" spans="1:9" x14ac:dyDescent="0.2">
      <c r="A758">
        <v>748</v>
      </c>
      <c r="B758">
        <v>1300923.9616516586</v>
      </c>
      <c r="C758">
        <v>121120.49392612222</v>
      </c>
      <c r="D758">
        <v>108199.48855521964</v>
      </c>
      <c r="E758">
        <v>96468.095418832265</v>
      </c>
      <c r="F758">
        <v>42678.560452072998</v>
      </c>
      <c r="G758">
        <v>10000</v>
      </c>
      <c r="H758">
        <v>358466.63835224713</v>
      </c>
      <c r="I758">
        <v>32.110707880068375</v>
      </c>
    </row>
    <row r="759" spans="1:9" x14ac:dyDescent="0.2">
      <c r="A759">
        <v>749</v>
      </c>
      <c r="B759">
        <v>1743280.9618199077</v>
      </c>
      <c r="C759">
        <v>123087.11438226786</v>
      </c>
      <c r="D759">
        <v>110765.34366138549</v>
      </c>
      <c r="E759">
        <v>205613.15395829044</v>
      </c>
      <c r="F759">
        <v>50234.756812497028</v>
      </c>
      <c r="G759">
        <v>10000</v>
      </c>
      <c r="H759">
        <v>479700.36881444079</v>
      </c>
      <c r="I759">
        <v>32.58602380483967</v>
      </c>
    </row>
    <row r="760" spans="1:9" x14ac:dyDescent="0.2">
      <c r="A760">
        <v>750</v>
      </c>
      <c r="B760">
        <v>1398446.4432102935</v>
      </c>
      <c r="C760">
        <v>108647.81872076221</v>
      </c>
      <c r="D760">
        <v>47187.978301288378</v>
      </c>
      <c r="E760">
        <v>190191.08010113728</v>
      </c>
      <c r="F760">
        <v>49167.074776232585</v>
      </c>
      <c r="G760">
        <v>10000</v>
      </c>
      <c r="H760">
        <v>385193.95189942047</v>
      </c>
      <c r="I760">
        <v>40.017375701566301</v>
      </c>
    </row>
    <row r="761" spans="1:9" x14ac:dyDescent="0.2">
      <c r="A761">
        <v>751</v>
      </c>
      <c r="B761">
        <v>1055953.3418046297</v>
      </c>
      <c r="C761">
        <v>108160.19581491692</v>
      </c>
      <c r="D761">
        <v>107552.91436039351</v>
      </c>
      <c r="E761">
        <v>46403.566276388192</v>
      </c>
      <c r="F761">
        <v>39212.554588365339</v>
      </c>
      <c r="G761">
        <v>10000</v>
      </c>
      <c r="H761">
        <v>291329.23104006395</v>
      </c>
      <c r="I761">
        <v>45.936612302290854</v>
      </c>
    </row>
    <row r="762" spans="1:9" x14ac:dyDescent="0.2">
      <c r="A762">
        <v>752</v>
      </c>
      <c r="B762">
        <v>1362680.5468738638</v>
      </c>
      <c r="C762">
        <v>125923.72136074329</v>
      </c>
      <c r="D762">
        <v>105828.25849599215</v>
      </c>
      <c r="E762">
        <v>110022.89031411975</v>
      </c>
      <c r="F762">
        <v>43616.96932943906</v>
      </c>
      <c r="G762">
        <v>10000</v>
      </c>
      <c r="H762">
        <v>375391.83950029424</v>
      </c>
      <c r="I762">
        <v>41.115809005638624</v>
      </c>
    </row>
    <row r="763" spans="1:9" x14ac:dyDescent="0.2">
      <c r="A763">
        <v>753</v>
      </c>
      <c r="B763">
        <v>1198744.3945925392</v>
      </c>
      <c r="C763">
        <v>143140.29325873309</v>
      </c>
      <c r="D763">
        <v>122761.80051367705</v>
      </c>
      <c r="E763">
        <v>36064.147101235787</v>
      </c>
      <c r="F763">
        <v>38496.748645470172</v>
      </c>
      <c r="G763">
        <v>10000</v>
      </c>
      <c r="H763">
        <v>330462.98951911612</v>
      </c>
      <c r="I763">
        <v>49.538277008113475</v>
      </c>
    </row>
    <row r="764" spans="1:9" x14ac:dyDescent="0.2">
      <c r="A764">
        <v>754</v>
      </c>
      <c r="B764">
        <v>783152.2936512779</v>
      </c>
      <c r="C764">
        <v>96867.612818005451</v>
      </c>
      <c r="D764">
        <v>65003.294755385883</v>
      </c>
      <c r="E764">
        <v>26835.762254312856</v>
      </c>
      <c r="F764">
        <v>37857.860463760124</v>
      </c>
      <c r="G764">
        <v>10000</v>
      </c>
      <c r="H764">
        <v>216564.53029146433</v>
      </c>
      <c r="I764">
        <v>40.755681080602756</v>
      </c>
    </row>
    <row r="765" spans="1:9" x14ac:dyDescent="0.2">
      <c r="A765">
        <v>755</v>
      </c>
      <c r="B765">
        <v>1024389.8546346765</v>
      </c>
      <c r="C765">
        <v>114857.71044647043</v>
      </c>
      <c r="D765">
        <v>50573.141301396397</v>
      </c>
      <c r="E765">
        <v>85339.848795596336</v>
      </c>
      <c r="F765">
        <v>41908.143378156667</v>
      </c>
      <c r="G765">
        <v>10000</v>
      </c>
      <c r="H765">
        <v>282678.84392161982</v>
      </c>
      <c r="I765">
        <v>36.253580000708482</v>
      </c>
    </row>
    <row r="766" spans="1:9" x14ac:dyDescent="0.2">
      <c r="A766">
        <v>756</v>
      </c>
      <c r="B766">
        <v>977017.38187948894</v>
      </c>
      <c r="C766">
        <v>81258.385591179569</v>
      </c>
      <c r="D766">
        <v>111225.35055858949</v>
      </c>
      <c r="E766">
        <v>47896.172221087523</v>
      </c>
      <c r="F766">
        <v>39315.888846075293</v>
      </c>
      <c r="G766">
        <v>10000</v>
      </c>
      <c r="H766">
        <v>269695.79721693188</v>
      </c>
      <c r="I766">
        <v>32.712581114986669</v>
      </c>
    </row>
    <row r="767" spans="1:9" x14ac:dyDescent="0.2">
      <c r="A767">
        <v>757</v>
      </c>
      <c r="B767">
        <v>881262.56134767225</v>
      </c>
      <c r="C767">
        <v>123276.29877670771</v>
      </c>
      <c r="D767">
        <v>47873.121691665758</v>
      </c>
      <c r="E767">
        <v>43305.444618110596</v>
      </c>
      <c r="F767">
        <v>38998.06924279227</v>
      </c>
      <c r="G767">
        <v>10000</v>
      </c>
      <c r="H767">
        <v>243452.93432927632</v>
      </c>
      <c r="I767">
        <v>43.215414565064968</v>
      </c>
    </row>
    <row r="768" spans="1:9" x14ac:dyDescent="0.2">
      <c r="A768">
        <v>758</v>
      </c>
      <c r="B768">
        <v>1264486.4828809847</v>
      </c>
      <c r="C768">
        <v>88751.498258630338</v>
      </c>
      <c r="D768">
        <v>76790.839153471999</v>
      </c>
      <c r="E768">
        <v>146776.67075608077</v>
      </c>
      <c r="F768">
        <v>46161.46182157482</v>
      </c>
      <c r="G768">
        <v>10000</v>
      </c>
      <c r="H768">
        <v>348480.46998975793</v>
      </c>
      <c r="I768">
        <v>44.025906920673748</v>
      </c>
    </row>
    <row r="769" spans="1:9" x14ac:dyDescent="0.2">
      <c r="A769">
        <v>759</v>
      </c>
      <c r="B769">
        <v>891022.12385942694</v>
      </c>
      <c r="C769">
        <v>127286.57653021216</v>
      </c>
      <c r="D769">
        <v>64142.994124555255</v>
      </c>
      <c r="E769">
        <v>26839.949288886637</v>
      </c>
      <c r="F769">
        <v>37858.15033538446</v>
      </c>
      <c r="G769">
        <v>10000</v>
      </c>
      <c r="H769">
        <v>246127.67027903855</v>
      </c>
      <c r="I769">
        <v>41.170405750838007</v>
      </c>
    </row>
    <row r="770" spans="1:9" x14ac:dyDescent="0.2">
      <c r="A770">
        <v>760</v>
      </c>
      <c r="B770">
        <v>1117795.9495857786</v>
      </c>
      <c r="C770">
        <v>87356.0820121578</v>
      </c>
      <c r="D770">
        <v>96461.320773125073</v>
      </c>
      <c r="E770">
        <v>92085.457924837698</v>
      </c>
      <c r="F770">
        <v>42375.147087104153</v>
      </c>
      <c r="G770">
        <v>10000</v>
      </c>
      <c r="H770">
        <v>308278.00779722474</v>
      </c>
      <c r="I770">
        <v>38.404592976202792</v>
      </c>
    </row>
    <row r="771" spans="1:9" x14ac:dyDescent="0.2">
      <c r="A771">
        <v>761</v>
      </c>
      <c r="B771">
        <v>1185963.5061214699</v>
      </c>
      <c r="C771">
        <v>112746.20374962964</v>
      </c>
      <c r="D771">
        <v>157447.04959725225</v>
      </c>
      <c r="E771">
        <v>28774.860536615299</v>
      </c>
      <c r="F771">
        <v>37992.105729457988</v>
      </c>
      <c r="G771">
        <v>10000</v>
      </c>
      <c r="H771">
        <v>326960.21961295517</v>
      </c>
      <c r="I771">
        <v>28.522141981177647</v>
      </c>
    </row>
    <row r="772" spans="1:9" x14ac:dyDescent="0.2">
      <c r="A772">
        <v>762</v>
      </c>
      <c r="B772">
        <v>1262748.0310153624</v>
      </c>
      <c r="C772">
        <v>110843.73596454824</v>
      </c>
      <c r="D772">
        <v>93510.384043737111</v>
      </c>
      <c r="E772">
        <v>110032.28476097847</v>
      </c>
      <c r="F772">
        <v>43617.619714221582</v>
      </c>
      <c r="G772">
        <v>10000</v>
      </c>
      <c r="H772">
        <v>348004.02448348538</v>
      </c>
      <c r="I772">
        <v>50.240400202448882</v>
      </c>
    </row>
    <row r="773" spans="1:9" x14ac:dyDescent="0.2">
      <c r="A773">
        <v>763</v>
      </c>
      <c r="B773">
        <v>1658871.6933179083</v>
      </c>
      <c r="C773">
        <v>113421.1582523394</v>
      </c>
      <c r="D773">
        <v>149989.62564003194</v>
      </c>
      <c r="E773">
        <v>156333.06111009736</v>
      </c>
      <c r="F773">
        <v>46823.058076852896</v>
      </c>
      <c r="G773">
        <v>10000</v>
      </c>
      <c r="H773">
        <v>456566.90307932155</v>
      </c>
      <c r="I773">
        <v>47.014167964388506</v>
      </c>
    </row>
    <row r="774" spans="1:9" x14ac:dyDescent="0.2">
      <c r="A774">
        <v>764</v>
      </c>
      <c r="B774">
        <v>1281923.8644382257</v>
      </c>
      <c r="C774">
        <v>88425.705274152555</v>
      </c>
      <c r="D774">
        <v>106765.19482708037</v>
      </c>
      <c r="E774">
        <v>123517.31405630457</v>
      </c>
      <c r="F774">
        <v>44551.198665436466</v>
      </c>
      <c r="G774">
        <v>10000</v>
      </c>
      <c r="H774">
        <v>353259.41282297397</v>
      </c>
      <c r="I774">
        <v>31.970400115354099</v>
      </c>
    </row>
    <row r="775" spans="1:9" x14ac:dyDescent="0.2">
      <c r="A775">
        <v>765</v>
      </c>
      <c r="B775">
        <v>995402.31463257666</v>
      </c>
      <c r="C775">
        <v>139832.33949758805</v>
      </c>
      <c r="D775">
        <v>73858.680158026124</v>
      </c>
      <c r="E775">
        <v>32774.411493247557</v>
      </c>
      <c r="F775">
        <v>38268.99771876329</v>
      </c>
      <c r="G775">
        <v>10000</v>
      </c>
      <c r="H775">
        <v>274734.42886762501</v>
      </c>
      <c r="I775">
        <v>36.195492701459052</v>
      </c>
    </row>
    <row r="776" spans="1:9" x14ac:dyDescent="0.2">
      <c r="A776">
        <v>766</v>
      </c>
      <c r="B776">
        <v>1259133.1019697129</v>
      </c>
      <c r="C776">
        <v>91923.864682899337</v>
      </c>
      <c r="D776">
        <v>134665.54681310925</v>
      </c>
      <c r="E776">
        <v>88310.116998798432</v>
      </c>
      <c r="F776">
        <v>42113.77733068604</v>
      </c>
      <c r="G776">
        <v>10000</v>
      </c>
      <c r="H776">
        <v>347013.30582549307</v>
      </c>
      <c r="I776">
        <v>39.343443773018251</v>
      </c>
    </row>
    <row r="777" spans="1:9" x14ac:dyDescent="0.2">
      <c r="A777">
        <v>767</v>
      </c>
      <c r="B777">
        <v>1455605.0733575751</v>
      </c>
      <c r="C777">
        <v>114470.95342346844</v>
      </c>
      <c r="D777">
        <v>64343.097918159758</v>
      </c>
      <c r="E777">
        <v>183351.41255672355</v>
      </c>
      <c r="F777">
        <v>48693.55933085009</v>
      </c>
      <c r="G777">
        <v>10000</v>
      </c>
      <c r="H777">
        <v>400859.02322920185</v>
      </c>
      <c r="I777">
        <v>35.779723079699082</v>
      </c>
    </row>
    <row r="778" spans="1:9" x14ac:dyDescent="0.2">
      <c r="A778">
        <v>768</v>
      </c>
      <c r="B778">
        <v>1109432.7736698659</v>
      </c>
      <c r="C778">
        <v>84001.484887718776</v>
      </c>
      <c r="D778">
        <v>71834.502579058186</v>
      </c>
      <c r="E778">
        <v>116111.49434866749</v>
      </c>
      <c r="F778">
        <v>44038.488070292362</v>
      </c>
      <c r="G778">
        <v>10000</v>
      </c>
      <c r="H778">
        <v>305985.96988573682</v>
      </c>
      <c r="I778">
        <v>33.92844430181313</v>
      </c>
    </row>
    <row r="779" spans="1:9" x14ac:dyDescent="0.2">
      <c r="A779">
        <v>769</v>
      </c>
      <c r="B779">
        <v>1073815.7178465202</v>
      </c>
      <c r="C779">
        <v>112992.10424873262</v>
      </c>
      <c r="D779">
        <v>87768.91412202458</v>
      </c>
      <c r="E779">
        <v>64965.985647929068</v>
      </c>
      <c r="F779">
        <v>40497.645160241242</v>
      </c>
      <c r="G779">
        <v>10000</v>
      </c>
      <c r="H779">
        <v>296224.64917892747</v>
      </c>
      <c r="I779">
        <v>34.10567178883251</v>
      </c>
    </row>
    <row r="780" spans="1:9" x14ac:dyDescent="0.2">
      <c r="A780">
        <v>770</v>
      </c>
      <c r="B780">
        <v>1121261.5735342663</v>
      </c>
      <c r="C780">
        <v>93737.845231439918</v>
      </c>
      <c r="D780">
        <v>106198.0978957055</v>
      </c>
      <c r="E780">
        <v>77898.865901815341</v>
      </c>
      <c r="F780">
        <v>41392.998408587213</v>
      </c>
      <c r="G780">
        <v>10000</v>
      </c>
      <c r="H780">
        <v>309227.80743754795</v>
      </c>
      <c r="I780">
        <v>34.730483549744093</v>
      </c>
    </row>
    <row r="781" spans="1:9" x14ac:dyDescent="0.2">
      <c r="A781">
        <v>771</v>
      </c>
      <c r="B781">
        <v>1837017.6990302098</v>
      </c>
      <c r="C781">
        <v>136183.6848053259</v>
      </c>
      <c r="D781">
        <v>130106.27703664872</v>
      </c>
      <c r="E781">
        <v>199302.33381115264</v>
      </c>
      <c r="F781">
        <v>49797.85387923364</v>
      </c>
      <c r="G781">
        <v>10000</v>
      </c>
      <c r="H781">
        <v>505390.1495323609</v>
      </c>
      <c r="I781">
        <v>40.50249040720356</v>
      </c>
    </row>
    <row r="782" spans="1:9" x14ac:dyDescent="0.2">
      <c r="A782">
        <v>772</v>
      </c>
      <c r="B782">
        <v>1887769.1905353684</v>
      </c>
      <c r="C782">
        <v>153944.28183640429</v>
      </c>
      <c r="D782">
        <v>174722.34755427876</v>
      </c>
      <c r="E782">
        <v>153972.96442938043</v>
      </c>
      <c r="F782">
        <v>46659.666768187875</v>
      </c>
      <c r="G782">
        <v>10000</v>
      </c>
      <c r="H782">
        <v>519299.26058825129</v>
      </c>
      <c r="I782">
        <v>28.672811079029785</v>
      </c>
    </row>
    <row r="783" spans="1:9" x14ac:dyDescent="0.2">
      <c r="A783">
        <v>773</v>
      </c>
      <c r="B783">
        <v>902264.62041542202</v>
      </c>
      <c r="C783">
        <v>89153.63235706641</v>
      </c>
      <c r="D783">
        <v>65863.338495834294</v>
      </c>
      <c r="E783">
        <v>63776.553049607537</v>
      </c>
      <c r="F783">
        <v>40415.299826511291</v>
      </c>
      <c r="G783">
        <v>10000</v>
      </c>
      <c r="H783">
        <v>249208.82372901955</v>
      </c>
      <c r="I783">
        <v>43.230024050500909</v>
      </c>
    </row>
    <row r="784" spans="1:9" x14ac:dyDescent="0.2">
      <c r="A784">
        <v>774</v>
      </c>
      <c r="B784">
        <v>648034.22855944873</v>
      </c>
      <c r="C784">
        <v>85630.141590100684</v>
      </c>
      <c r="D784">
        <v>30687.02522304493</v>
      </c>
      <c r="E784">
        <v>34806.787139976121</v>
      </c>
      <c r="F784">
        <v>38409.700648152197</v>
      </c>
      <c r="G784">
        <v>10000</v>
      </c>
      <c r="H784">
        <v>179533.65460127394</v>
      </c>
      <c r="I784">
        <v>34.702666304974265</v>
      </c>
    </row>
    <row r="785" spans="1:9" x14ac:dyDescent="0.2">
      <c r="A785">
        <v>775</v>
      </c>
      <c r="B785">
        <v>1762153.2285829647</v>
      </c>
      <c r="C785">
        <v>139730.40390900429</v>
      </c>
      <c r="D785">
        <v>117763.06750164583</v>
      </c>
      <c r="E785">
        <v>188340.15548254963</v>
      </c>
      <c r="F785">
        <v>49038.933841099584</v>
      </c>
      <c r="G785">
        <v>10000</v>
      </c>
      <c r="H785">
        <v>484872.56073429936</v>
      </c>
      <c r="I785">
        <v>28.19047497749655</v>
      </c>
    </row>
    <row r="786" spans="1:9" x14ac:dyDescent="0.2">
      <c r="A786">
        <v>776</v>
      </c>
      <c r="B786">
        <v>1531026.4677948505</v>
      </c>
      <c r="C786">
        <v>94265.004272639315</v>
      </c>
      <c r="D786">
        <v>104100.40088711599</v>
      </c>
      <c r="E786">
        <v>184397.83520645744</v>
      </c>
      <c r="F786">
        <v>48766.003975831671</v>
      </c>
      <c r="G786">
        <v>10000</v>
      </c>
      <c r="H786">
        <v>421529.24434204446</v>
      </c>
      <c r="I786">
        <v>37.020012264428445</v>
      </c>
    </row>
    <row r="787" spans="1:9" x14ac:dyDescent="0.2">
      <c r="A787">
        <v>777</v>
      </c>
      <c r="B787">
        <v>973917.08704134903</v>
      </c>
      <c r="C787">
        <v>144480.11225211635</v>
      </c>
      <c r="D787">
        <v>66496.705797231203</v>
      </c>
      <c r="E787">
        <v>29805.82272097751</v>
      </c>
      <c r="F787">
        <v>38063.48003452921</v>
      </c>
      <c r="G787">
        <v>10000</v>
      </c>
      <c r="H787">
        <v>268846.12080485426</v>
      </c>
      <c r="I787">
        <v>41.49064546107752</v>
      </c>
    </row>
    <row r="788" spans="1:9" x14ac:dyDescent="0.2">
      <c r="A788">
        <v>778</v>
      </c>
      <c r="B788">
        <v>1633501.1592068551</v>
      </c>
      <c r="C788">
        <v>137453.40368962605</v>
      </c>
      <c r="D788">
        <v>88472.12136036696</v>
      </c>
      <c r="E788">
        <v>184888.29213382461</v>
      </c>
      <c r="F788">
        <v>48799.958686187856</v>
      </c>
      <c r="G788">
        <v>10000</v>
      </c>
      <c r="H788">
        <v>449613.77587000548</v>
      </c>
      <c r="I788">
        <v>46.111227185253099</v>
      </c>
    </row>
    <row r="789" spans="1:9" x14ac:dyDescent="0.2">
      <c r="A789">
        <v>779</v>
      </c>
      <c r="B789">
        <v>1111878.7204808658</v>
      </c>
      <c r="C789">
        <v>82977.747859200739</v>
      </c>
      <c r="D789">
        <v>157390.84859363761</v>
      </c>
      <c r="E789">
        <v>37679.159968079373</v>
      </c>
      <c r="F789">
        <v>38608.557228559337</v>
      </c>
      <c r="G789">
        <v>10000</v>
      </c>
      <c r="H789">
        <v>306656.31364947703</v>
      </c>
      <c r="I789">
        <v>34.466033436260233</v>
      </c>
    </row>
    <row r="790" spans="1:9" x14ac:dyDescent="0.2">
      <c r="A790">
        <v>780</v>
      </c>
      <c r="B790">
        <v>1221969.6062779131</v>
      </c>
      <c r="C790">
        <v>90099.11358793368</v>
      </c>
      <c r="D790">
        <v>153588.15244791488</v>
      </c>
      <c r="E790">
        <v>62793.644657188204</v>
      </c>
      <c r="F790">
        <v>40347.252322420725</v>
      </c>
      <c r="G790">
        <v>10000</v>
      </c>
      <c r="H790">
        <v>336828.16301545745</v>
      </c>
      <c r="I790">
        <v>27.758482354416174</v>
      </c>
    </row>
    <row r="791" spans="1:9" x14ac:dyDescent="0.2">
      <c r="A791">
        <v>781</v>
      </c>
      <c r="B791">
        <v>1236506.1392721098</v>
      </c>
      <c r="C791">
        <v>99722.619123026845</v>
      </c>
      <c r="D791">
        <v>95719.454322011428</v>
      </c>
      <c r="E791">
        <v>111641.0229587121</v>
      </c>
      <c r="F791">
        <v>43728.993897141605</v>
      </c>
      <c r="G791">
        <v>10000</v>
      </c>
      <c r="H791">
        <v>340812.09030089196</v>
      </c>
      <c r="I791">
        <v>42.693431332654271</v>
      </c>
    </row>
    <row r="792" spans="1:9" x14ac:dyDescent="0.2">
      <c r="A792">
        <v>782</v>
      </c>
      <c r="B792">
        <v>1331998.4967852551</v>
      </c>
      <c r="C792">
        <v>103698.04249599685</v>
      </c>
      <c r="D792">
        <v>79026.017526934142</v>
      </c>
      <c r="E792">
        <v>148011.97860320073</v>
      </c>
      <c r="F792">
        <v>46246.983134067741</v>
      </c>
      <c r="G792">
        <v>10000</v>
      </c>
      <c r="H792">
        <v>366983.02176019945</v>
      </c>
      <c r="I792">
        <v>33.510498986325075</v>
      </c>
    </row>
    <row r="793" spans="1:9" x14ac:dyDescent="0.2">
      <c r="A793">
        <v>783</v>
      </c>
      <c r="B793">
        <v>1163674.399812344</v>
      </c>
      <c r="C793">
        <v>145849.85903154648</v>
      </c>
      <c r="D793">
        <v>86175.489180362682</v>
      </c>
      <c r="E793">
        <v>58758.363164751856</v>
      </c>
      <c r="F793">
        <v>40067.886680636664</v>
      </c>
      <c r="G793">
        <v>10000</v>
      </c>
      <c r="H793">
        <v>320851.5980572977</v>
      </c>
      <c r="I793">
        <v>30.176340827692879</v>
      </c>
    </row>
    <row r="794" spans="1:9" x14ac:dyDescent="0.2">
      <c r="A794">
        <v>784</v>
      </c>
      <c r="B794">
        <v>1277512.3724644475</v>
      </c>
      <c r="C794">
        <v>93847.344439803579</v>
      </c>
      <c r="D794">
        <v>108650.37130802804</v>
      </c>
      <c r="E794">
        <v>115552.85675249324</v>
      </c>
      <c r="F794">
        <v>43999.813159787998</v>
      </c>
      <c r="G794">
        <v>10000</v>
      </c>
      <c r="H794">
        <v>352050.38566011284</v>
      </c>
      <c r="I794">
        <v>36.616398731276064</v>
      </c>
    </row>
    <row r="795" spans="1:9" x14ac:dyDescent="0.2">
      <c r="A795">
        <v>785</v>
      </c>
      <c r="B795">
        <v>1317393.2637487142</v>
      </c>
      <c r="C795">
        <v>102657.21996514579</v>
      </c>
      <c r="D795">
        <v>100836.7549559589</v>
      </c>
      <c r="E795">
        <v>124843.29412177955</v>
      </c>
      <c r="F795">
        <v>44642.997285353966</v>
      </c>
      <c r="G795">
        <v>10000</v>
      </c>
      <c r="H795">
        <v>362980.26632823818</v>
      </c>
      <c r="I795">
        <v>30.150795467596701</v>
      </c>
    </row>
    <row r="796" spans="1:9" x14ac:dyDescent="0.2">
      <c r="A796">
        <v>786</v>
      </c>
      <c r="B796">
        <v>1636564.5700876473</v>
      </c>
      <c r="C796">
        <v>109231.4956746739</v>
      </c>
      <c r="D796">
        <v>140318.23705846426</v>
      </c>
      <c r="E796">
        <v>163578.91677875095</v>
      </c>
      <c r="F796">
        <v>47324.694238528908</v>
      </c>
      <c r="G796">
        <v>10000</v>
      </c>
      <c r="H796">
        <v>450453.34375041799</v>
      </c>
      <c r="I796">
        <v>46.457719386813778</v>
      </c>
    </row>
    <row r="797" spans="1:9" x14ac:dyDescent="0.2">
      <c r="A797">
        <v>787</v>
      </c>
      <c r="B797">
        <v>1464581.9700108725</v>
      </c>
      <c r="C797">
        <v>143812.35887622158</v>
      </c>
      <c r="D797">
        <v>70407.226994873679</v>
      </c>
      <c r="E797">
        <v>152539.2629640871</v>
      </c>
      <c r="F797">
        <v>46560.410512898336</v>
      </c>
      <c r="G797">
        <v>10000</v>
      </c>
      <c r="H797">
        <v>403319.25934808073</v>
      </c>
      <c r="I797">
        <v>27.364777496340015</v>
      </c>
    </row>
    <row r="798" spans="1:9" x14ac:dyDescent="0.2">
      <c r="A798">
        <v>788</v>
      </c>
      <c r="B798">
        <v>1128172.8980517199</v>
      </c>
      <c r="C798">
        <v>87861.497491171365</v>
      </c>
      <c r="D798">
        <v>59039.51638497533</v>
      </c>
      <c r="E798">
        <v>129271.37579322285</v>
      </c>
      <c r="F798">
        <v>44949.556785684654</v>
      </c>
      <c r="G798">
        <v>10000</v>
      </c>
      <c r="H798">
        <v>311121.94645505422</v>
      </c>
      <c r="I798">
        <v>36.465596170161533</v>
      </c>
    </row>
    <row r="799" spans="1:9" x14ac:dyDescent="0.2">
      <c r="A799">
        <v>789</v>
      </c>
      <c r="B799">
        <v>1222176.4391486407</v>
      </c>
      <c r="C799">
        <v>119216.3703743237</v>
      </c>
      <c r="D799">
        <v>71003.779038337118</v>
      </c>
      <c r="E799">
        <v>112851.87663201467</v>
      </c>
      <c r="F799">
        <v>43812.822228370249</v>
      </c>
      <c r="G799">
        <v>10000</v>
      </c>
      <c r="H799">
        <v>336884.84827304573</v>
      </c>
      <c r="I799">
        <v>30.993334456909956</v>
      </c>
    </row>
    <row r="800" spans="1:9" x14ac:dyDescent="0.2">
      <c r="A800">
        <v>790</v>
      </c>
      <c r="B800">
        <v>1544223.918290202</v>
      </c>
      <c r="C800">
        <v>112776.60634440172</v>
      </c>
      <c r="D800">
        <v>83891.745557117203</v>
      </c>
      <c r="E800">
        <v>189367.75152082328</v>
      </c>
      <c r="F800">
        <v>49110.075105287768</v>
      </c>
      <c r="G800">
        <v>10000</v>
      </c>
      <c r="H800">
        <v>425146.17852762999</v>
      </c>
      <c r="I800">
        <v>52.056330252915643</v>
      </c>
    </row>
    <row r="801" spans="1:9" x14ac:dyDescent="0.2">
      <c r="A801">
        <v>791</v>
      </c>
      <c r="B801">
        <v>1409591.2433664112</v>
      </c>
      <c r="C801">
        <v>108612.8740725586</v>
      </c>
      <c r="D801">
        <v>90929.813673030716</v>
      </c>
      <c r="E801">
        <v>152170.74490170716</v>
      </c>
      <c r="F801">
        <v>46534.897723964343</v>
      </c>
      <c r="G801">
        <v>10000</v>
      </c>
      <c r="H801">
        <v>388248.33037126082</v>
      </c>
      <c r="I801">
        <v>31.987878838434401</v>
      </c>
    </row>
    <row r="802" spans="1:9" x14ac:dyDescent="0.2">
      <c r="A802">
        <v>792</v>
      </c>
      <c r="B802">
        <v>1007893.6079172542</v>
      </c>
      <c r="C802">
        <v>140575.17016018688</v>
      </c>
      <c r="D802">
        <v>40074.890757981222</v>
      </c>
      <c r="E802">
        <v>66877.770972432874</v>
      </c>
      <c r="F802">
        <v>40629.999528860739</v>
      </c>
      <c r="G802">
        <v>10000</v>
      </c>
      <c r="H802">
        <v>278157.8314194617</v>
      </c>
      <c r="I802">
        <v>43.301248800235513</v>
      </c>
    </row>
    <row r="803" spans="1:9" x14ac:dyDescent="0.2">
      <c r="A803">
        <v>793</v>
      </c>
      <c r="B803">
        <v>1193217.9863801366</v>
      </c>
      <c r="C803">
        <v>99468.65048979214</v>
      </c>
      <c r="D803">
        <v>96496.530656274583</v>
      </c>
      <c r="E803">
        <v>100056.25248452192</v>
      </c>
      <c r="F803">
        <v>42926.971325851511</v>
      </c>
      <c r="G803">
        <v>10000</v>
      </c>
      <c r="H803">
        <v>328948.40495644015</v>
      </c>
      <c r="I803">
        <v>32.227772377488591</v>
      </c>
    </row>
    <row r="804" spans="1:9" x14ac:dyDescent="0.2">
      <c r="A804">
        <v>794</v>
      </c>
      <c r="B804">
        <v>1739277.9426662542</v>
      </c>
      <c r="C804">
        <v>99889.972234141591</v>
      </c>
      <c r="D804">
        <v>161613.42512685055</v>
      </c>
      <c r="E804">
        <v>178726.51734024813</v>
      </c>
      <c r="F804">
        <v>48373.374277401796</v>
      </c>
      <c r="G804">
        <v>10000</v>
      </c>
      <c r="H804">
        <v>478603.28897864203</v>
      </c>
      <c r="I804">
        <v>36.251479192306803</v>
      </c>
    </row>
    <row r="805" spans="1:9" x14ac:dyDescent="0.2">
      <c r="A805">
        <v>795</v>
      </c>
      <c r="B805">
        <v>1595501.4870985141</v>
      </c>
      <c r="C805">
        <v>123547.99986784143</v>
      </c>
      <c r="D805">
        <v>76034.608590869073</v>
      </c>
      <c r="E805">
        <v>199785.55205127847</v>
      </c>
      <c r="F805">
        <v>49831.307449703898</v>
      </c>
      <c r="G805">
        <v>10000</v>
      </c>
      <c r="H805">
        <v>439199.46795969288</v>
      </c>
      <c r="I805">
        <v>33.337105937572417</v>
      </c>
    </row>
    <row r="806" spans="1:9" x14ac:dyDescent="0.2">
      <c r="A806">
        <v>796</v>
      </c>
      <c r="B806">
        <v>1399578.0163338743</v>
      </c>
      <c r="C806">
        <v>113064.21558291218</v>
      </c>
      <c r="D806">
        <v>119113.98944930002</v>
      </c>
      <c r="E806">
        <v>119081.74827043212</v>
      </c>
      <c r="F806">
        <v>44244.121034106836</v>
      </c>
      <c r="G806">
        <v>10000</v>
      </c>
      <c r="H806">
        <v>385504.07433675113</v>
      </c>
      <c r="I806">
        <v>37.646766006390109</v>
      </c>
    </row>
    <row r="807" spans="1:9" x14ac:dyDescent="0.2">
      <c r="A807">
        <v>797</v>
      </c>
      <c r="B807">
        <v>1157975.7881332934</v>
      </c>
      <c r="C807">
        <v>77957.776131587249</v>
      </c>
      <c r="D807">
        <v>57305.848228995499</v>
      </c>
      <c r="E807">
        <v>147794.28264297661</v>
      </c>
      <c r="F807">
        <v>46231.911875282996</v>
      </c>
      <c r="G807">
        <v>10000</v>
      </c>
      <c r="H807">
        <v>319289.81887884234</v>
      </c>
      <c r="I807">
        <v>38.392452458877401</v>
      </c>
    </row>
    <row r="808" spans="1:9" x14ac:dyDescent="0.2">
      <c r="A808">
        <v>798</v>
      </c>
      <c r="B808">
        <v>1620238.9218289095</v>
      </c>
      <c r="C808">
        <v>114884.92776702586</v>
      </c>
      <c r="D808">
        <v>82850.546691180789</v>
      </c>
      <c r="E808">
        <v>207853.73740438011</v>
      </c>
      <c r="F808">
        <v>50389.874127995543</v>
      </c>
      <c r="G808">
        <v>10000</v>
      </c>
      <c r="H808">
        <v>445979.08599058236</v>
      </c>
      <c r="I808">
        <v>41.713817923172719</v>
      </c>
    </row>
    <row r="809" spans="1:9" x14ac:dyDescent="0.2">
      <c r="A809">
        <v>799</v>
      </c>
      <c r="B809">
        <v>1036772.8983937306</v>
      </c>
      <c r="C809">
        <v>93355.568302343527</v>
      </c>
      <c r="D809">
        <v>80417.305875899547</v>
      </c>
      <c r="E809">
        <v>80711.954405137134</v>
      </c>
      <c r="F809">
        <v>41587.750689586421</v>
      </c>
      <c r="G809">
        <v>10000</v>
      </c>
      <c r="H809">
        <v>286072.5792729666</v>
      </c>
      <c r="I809">
        <v>35.442984787041958</v>
      </c>
    </row>
    <row r="810" spans="1:9" x14ac:dyDescent="0.2">
      <c r="A810">
        <v>800</v>
      </c>
      <c r="B810">
        <v>1669133.3373689761</v>
      </c>
      <c r="C810">
        <v>159951.01550993949</v>
      </c>
      <c r="D810">
        <v>111394.42150989365</v>
      </c>
      <c r="E810">
        <v>151542.40664864721</v>
      </c>
      <c r="F810">
        <v>46491.397383367883</v>
      </c>
      <c r="G810">
        <v>10000</v>
      </c>
      <c r="H810">
        <v>459379.24105184822</v>
      </c>
      <c r="I810">
        <v>32.871348059790975</v>
      </c>
    </row>
    <row r="811" spans="1:9" x14ac:dyDescent="0.2">
      <c r="A811">
        <v>801</v>
      </c>
      <c r="B811">
        <v>1544773.9673457071</v>
      </c>
      <c r="C811">
        <v>127655.67689752404</v>
      </c>
      <c r="D811">
        <v>59582.503545739288</v>
      </c>
      <c r="E811">
        <v>198328.32381530176</v>
      </c>
      <c r="F811">
        <v>49730.42241798243</v>
      </c>
      <c r="G811">
        <v>10000</v>
      </c>
      <c r="H811">
        <v>425296.9266765475</v>
      </c>
      <c r="I811">
        <v>46.608193755135844</v>
      </c>
    </row>
    <row r="812" spans="1:9" x14ac:dyDescent="0.2">
      <c r="A812">
        <v>802</v>
      </c>
      <c r="B812">
        <v>860241.5116580443</v>
      </c>
      <c r="C812">
        <v>99878.387042461822</v>
      </c>
      <c r="D812">
        <v>71252.476727204034</v>
      </c>
      <c r="E812">
        <v>37934.726252180568</v>
      </c>
      <c r="F812">
        <v>38626.250278997111</v>
      </c>
      <c r="G812">
        <v>10000</v>
      </c>
      <c r="H812">
        <v>237691.84030084353</v>
      </c>
      <c r="I812">
        <v>27.236153121419829</v>
      </c>
    </row>
    <row r="813" spans="1:9" x14ac:dyDescent="0.2">
      <c r="A813">
        <v>803</v>
      </c>
      <c r="B813">
        <v>1405195.3845341941</v>
      </c>
      <c r="C813">
        <v>106619.46875439679</v>
      </c>
      <c r="D813">
        <v>133739.78742489856</v>
      </c>
      <c r="E813">
        <v>112870.23809009504</v>
      </c>
      <c r="F813">
        <v>43814.093406237356</v>
      </c>
      <c r="G813">
        <v>10000</v>
      </c>
      <c r="H813">
        <v>387043.58767562779</v>
      </c>
      <c r="I813">
        <v>40.92512369567141</v>
      </c>
    </row>
    <row r="814" spans="1:9" x14ac:dyDescent="0.2">
      <c r="A814">
        <v>804</v>
      </c>
      <c r="B814">
        <v>969148.71453690133</v>
      </c>
      <c r="C814">
        <v>80343.493092968245</v>
      </c>
      <c r="D814">
        <v>109914.18456518742</v>
      </c>
      <c r="E814">
        <v>47961.21630171236</v>
      </c>
      <c r="F814">
        <v>39320.391897810856</v>
      </c>
      <c r="G814">
        <v>10000</v>
      </c>
      <c r="H814">
        <v>267539.28585767886</v>
      </c>
      <c r="I814">
        <v>29.12184731155569</v>
      </c>
    </row>
    <row r="815" spans="1:9" x14ac:dyDescent="0.2">
      <c r="A815">
        <v>805</v>
      </c>
      <c r="B815">
        <v>1306994.0190694383</v>
      </c>
      <c r="C815">
        <v>130796.53065307294</v>
      </c>
      <c r="D815">
        <v>68265.225386060338</v>
      </c>
      <c r="E815">
        <v>126323.02113707195</v>
      </c>
      <c r="F815">
        <v>44745.439924874212</v>
      </c>
      <c r="G815">
        <v>10000</v>
      </c>
      <c r="H815">
        <v>360130.21710107947</v>
      </c>
      <c r="I815">
        <v>31.881012235773454</v>
      </c>
    </row>
    <row r="816" spans="1:9" x14ac:dyDescent="0.2">
      <c r="A816">
        <v>806</v>
      </c>
      <c r="B816">
        <v>1141906.8079381136</v>
      </c>
      <c r="C816">
        <v>81289.609710781515</v>
      </c>
      <c r="D816">
        <v>142198.78346746546</v>
      </c>
      <c r="E816">
        <v>61163.13995789492</v>
      </c>
      <c r="F816">
        <v>40234.371227854266</v>
      </c>
      <c r="G816">
        <v>10000</v>
      </c>
      <c r="H816">
        <v>314885.90436399617</v>
      </c>
      <c r="I816">
        <v>29.624440494587517</v>
      </c>
    </row>
    <row r="817" spans="1:9" x14ac:dyDescent="0.2">
      <c r="A817">
        <v>807</v>
      </c>
      <c r="B817">
        <v>1004155.162089837</v>
      </c>
      <c r="C817">
        <v>119955.00296474823</v>
      </c>
      <c r="D817">
        <v>80477.045713231651</v>
      </c>
      <c r="E817">
        <v>47418.400358922081</v>
      </c>
      <c r="F817">
        <v>39282.812332540758</v>
      </c>
      <c r="G817">
        <v>10000</v>
      </c>
      <c r="H817">
        <v>277133.26136944274</v>
      </c>
      <c r="I817">
        <v>54.966144559707104</v>
      </c>
    </row>
    <row r="818" spans="1:9" x14ac:dyDescent="0.2">
      <c r="A818">
        <v>808</v>
      </c>
      <c r="B818">
        <v>1514899.5425735959</v>
      </c>
      <c r="C818">
        <v>140502.48476821161</v>
      </c>
      <c r="D818">
        <v>106722.32840683359</v>
      </c>
      <c r="E818">
        <v>134568.36465923279</v>
      </c>
      <c r="F818">
        <v>45316.271399485348</v>
      </c>
      <c r="G818">
        <v>10000</v>
      </c>
      <c r="H818">
        <v>417109.44923376333</v>
      </c>
      <c r="I818">
        <v>44.101453498507638</v>
      </c>
    </row>
    <row r="819" spans="1:9" x14ac:dyDescent="0.2">
      <c r="A819">
        <v>809</v>
      </c>
      <c r="B819">
        <v>969049.87080140878</v>
      </c>
      <c r="C819">
        <v>109064.54471508093</v>
      </c>
      <c r="D819">
        <v>47598.319762975756</v>
      </c>
      <c r="E819">
        <v>79355.490321485573</v>
      </c>
      <c r="F819">
        <v>41493.841637641308</v>
      </c>
      <c r="G819">
        <v>10000</v>
      </c>
      <c r="H819">
        <v>267512.19643718359</v>
      </c>
      <c r="I819">
        <v>29.096090539528454</v>
      </c>
    </row>
    <row r="820" spans="1:9" x14ac:dyDescent="0.2">
      <c r="A820">
        <v>810</v>
      </c>
      <c r="B820">
        <v>1548149.7249973675</v>
      </c>
      <c r="C820">
        <v>132239.72441880894</v>
      </c>
      <c r="D820">
        <v>49717.065826792059</v>
      </c>
      <c r="E820">
        <v>204133.02096839607</v>
      </c>
      <c r="F820">
        <v>50132.286067042805</v>
      </c>
      <c r="G820">
        <v>10000</v>
      </c>
      <c r="H820">
        <v>426222.09728103987</v>
      </c>
      <c r="I820">
        <v>49.65844097590044</v>
      </c>
    </row>
    <row r="821" spans="1:9" x14ac:dyDescent="0.2">
      <c r="A821">
        <v>811</v>
      </c>
      <c r="B821">
        <v>1649866.3463442633</v>
      </c>
      <c r="C821">
        <v>160378.14014499212</v>
      </c>
      <c r="D821">
        <v>120625.10141713177</v>
      </c>
      <c r="E821">
        <v>137571.45084888692</v>
      </c>
      <c r="F821">
        <v>45524.177366461401</v>
      </c>
      <c r="G821">
        <v>10000</v>
      </c>
      <c r="H821">
        <v>454098.86977747222</v>
      </c>
      <c r="I821">
        <v>36.095161413601538</v>
      </c>
    </row>
    <row r="822" spans="1:9" x14ac:dyDescent="0.2">
      <c r="A822">
        <v>812</v>
      </c>
      <c r="B822">
        <v>931262.20351334626</v>
      </c>
      <c r="C822">
        <v>99967.109393491948</v>
      </c>
      <c r="D822">
        <v>86887.867298535421</v>
      </c>
      <c r="E822">
        <v>41432.603520030047</v>
      </c>
      <c r="F822">
        <v>38868.411012925157</v>
      </c>
      <c r="G822">
        <v>10000</v>
      </c>
      <c r="H822">
        <v>257155.99122498254</v>
      </c>
      <c r="I822">
        <v>30.979591956144233</v>
      </c>
    </row>
    <row r="823" spans="1:9" x14ac:dyDescent="0.2">
      <c r="A823">
        <v>813</v>
      </c>
      <c r="B823">
        <v>1367208.4725496389</v>
      </c>
      <c r="C823">
        <v>156101.85486621724</v>
      </c>
      <c r="D823">
        <v>139093.77371522365</v>
      </c>
      <c r="E823">
        <v>51847.692620021859</v>
      </c>
      <c r="F823">
        <v>39589.455642924586</v>
      </c>
      <c r="G823">
        <v>10000</v>
      </c>
      <c r="H823">
        <v>376632.77684438735</v>
      </c>
      <c r="I823">
        <v>28.209477403482744</v>
      </c>
    </row>
    <row r="824" spans="1:9" x14ac:dyDescent="0.2">
      <c r="A824">
        <v>814</v>
      </c>
      <c r="B824">
        <v>929753.15731397155</v>
      </c>
      <c r="C824">
        <v>129425.06751475028</v>
      </c>
      <c r="D824">
        <v>44692.79467414142</v>
      </c>
      <c r="E824">
        <v>52958.2170539703</v>
      </c>
      <c r="F824">
        <v>39666.338103736402</v>
      </c>
      <c r="G824">
        <v>10000</v>
      </c>
      <c r="H824">
        <v>256742.41734659835</v>
      </c>
      <c r="I824">
        <v>36.93777487500175</v>
      </c>
    </row>
    <row r="825" spans="1:9" x14ac:dyDescent="0.2">
      <c r="A825">
        <v>815</v>
      </c>
      <c r="B825">
        <v>1406554.5831044419</v>
      </c>
      <c r="C825">
        <v>143061.25004910192</v>
      </c>
      <c r="D825">
        <v>72249.816497054548</v>
      </c>
      <c r="E825">
        <v>136644.98956320347</v>
      </c>
      <c r="F825">
        <v>45460.037738991014</v>
      </c>
      <c r="G825">
        <v>10000</v>
      </c>
      <c r="H825">
        <v>387416.09384835098</v>
      </c>
      <c r="I825">
        <v>41.820746219166338</v>
      </c>
    </row>
    <row r="826" spans="1:9" x14ac:dyDescent="0.2">
      <c r="A826">
        <v>816</v>
      </c>
      <c r="B826">
        <v>981580.58850469487</v>
      </c>
      <c r="C826">
        <v>87187.159988893123</v>
      </c>
      <c r="D826">
        <v>102161.78577424148</v>
      </c>
      <c r="E826">
        <v>51997.622593891232</v>
      </c>
      <c r="F826">
        <v>39599.835410346313</v>
      </c>
      <c r="G826">
        <v>10000</v>
      </c>
      <c r="H826">
        <v>270946.40376737213</v>
      </c>
      <c r="I826">
        <v>41.404640875290134</v>
      </c>
    </row>
    <row r="827" spans="1:9" x14ac:dyDescent="0.2">
      <c r="A827">
        <v>817</v>
      </c>
      <c r="B827">
        <v>1145895.4950263556</v>
      </c>
      <c r="C827">
        <v>124167.88838217557</v>
      </c>
      <c r="D827">
        <v>88134.966626024136</v>
      </c>
      <c r="E827">
        <v>72646.80697246622</v>
      </c>
      <c r="F827">
        <v>41029.394328863047</v>
      </c>
      <c r="G827">
        <v>10000</v>
      </c>
      <c r="H827">
        <v>315979.056309529</v>
      </c>
      <c r="I827">
        <v>31.09999569523843</v>
      </c>
    </row>
    <row r="828" spans="1:9" x14ac:dyDescent="0.2">
      <c r="A828">
        <v>818</v>
      </c>
      <c r="B828">
        <v>1137896.4636267263</v>
      </c>
      <c r="C828">
        <v>85414.021281957248</v>
      </c>
      <c r="D828">
        <v>64507.218981248909</v>
      </c>
      <c r="E828">
        <v>128939.02857728621</v>
      </c>
      <c r="F828">
        <v>44926.54813227366</v>
      </c>
      <c r="G828">
        <v>10000</v>
      </c>
      <c r="H828">
        <v>313786.81697276601</v>
      </c>
      <c r="I828">
        <v>36.391078498785042</v>
      </c>
    </row>
    <row r="829" spans="1:9" x14ac:dyDescent="0.2">
      <c r="A829">
        <v>819</v>
      </c>
      <c r="B829">
        <v>1542136.9566031527</v>
      </c>
      <c r="C829">
        <v>127551.81078957723</v>
      </c>
      <c r="D829">
        <v>55201.352044386564</v>
      </c>
      <c r="E829">
        <v>201847.03126422796</v>
      </c>
      <c r="F829">
        <v>49974.025241369622</v>
      </c>
      <c r="G829">
        <v>10000</v>
      </c>
      <c r="H829">
        <v>424574.21933956136</v>
      </c>
      <c r="I829">
        <v>35.110497699943366</v>
      </c>
    </row>
    <row r="830" spans="1:9" x14ac:dyDescent="0.2">
      <c r="A830">
        <v>820</v>
      </c>
      <c r="B830">
        <v>1357386.8560349182</v>
      </c>
      <c r="C830">
        <v>107875.90112635778</v>
      </c>
      <c r="D830">
        <v>110747.76534596601</v>
      </c>
      <c r="E830">
        <v>120944.30073590072</v>
      </c>
      <c r="F830">
        <v>44373.066974023895</v>
      </c>
      <c r="G830">
        <v>10000</v>
      </c>
      <c r="H830">
        <v>373941.0341822484</v>
      </c>
      <c r="I830">
        <v>40.454670996250641</v>
      </c>
    </row>
    <row r="831" spans="1:9" x14ac:dyDescent="0.2">
      <c r="A831">
        <v>821</v>
      </c>
      <c r="B831">
        <v>1235773.4598546755</v>
      </c>
      <c r="C831">
        <v>147027.86594054819</v>
      </c>
      <c r="D831">
        <v>64055.372063384901</v>
      </c>
      <c r="E831">
        <v>96824.796745706917</v>
      </c>
      <c r="F831">
        <v>42703.255159318163</v>
      </c>
      <c r="G831">
        <v>10000</v>
      </c>
      <c r="H831">
        <v>340611.28990895819</v>
      </c>
      <c r="I831">
        <v>35.394026313524563</v>
      </c>
    </row>
    <row r="832" spans="1:9" x14ac:dyDescent="0.2">
      <c r="A832">
        <v>822</v>
      </c>
      <c r="B832">
        <v>1967906.9906769635</v>
      </c>
      <c r="C832">
        <v>150875.82285905626</v>
      </c>
      <c r="D832">
        <v>170244.73409971912</v>
      </c>
      <c r="E832">
        <v>181571.20342399087</v>
      </c>
      <c r="F832">
        <v>48570.314083199366</v>
      </c>
      <c r="G832">
        <v>10000</v>
      </c>
      <c r="H832">
        <v>541262.07446596562</v>
      </c>
      <c r="I832">
        <v>33.902730953556258</v>
      </c>
    </row>
    <row r="833" spans="1:9" x14ac:dyDescent="0.2">
      <c r="A833">
        <v>823</v>
      </c>
      <c r="B833">
        <v>1398798.4383201057</v>
      </c>
      <c r="C833">
        <v>95816.849733039518</v>
      </c>
      <c r="D833">
        <v>76742.585681850906</v>
      </c>
      <c r="E833">
        <v>174640.48990060549</v>
      </c>
      <c r="F833">
        <v>48090.495454657306</v>
      </c>
      <c r="G833">
        <v>10000</v>
      </c>
      <c r="H833">
        <v>385290.42077015323</v>
      </c>
      <c r="I833">
        <v>30.14343793778021</v>
      </c>
    </row>
    <row r="834" spans="1:9" x14ac:dyDescent="0.2">
      <c r="A834">
        <v>824</v>
      </c>
      <c r="B834">
        <v>1248857.8611839972</v>
      </c>
      <c r="C834">
        <v>105865.35135151919</v>
      </c>
      <c r="D834">
        <v>94447.218778553695</v>
      </c>
      <c r="E834">
        <v>110251.85091190823</v>
      </c>
      <c r="F834">
        <v>43632.820447747494</v>
      </c>
      <c r="G834">
        <v>10000</v>
      </c>
      <c r="H834">
        <v>344197.24148972856</v>
      </c>
      <c r="I834">
        <v>32.50918816738411</v>
      </c>
    </row>
    <row r="835" spans="1:9" x14ac:dyDescent="0.2">
      <c r="A835">
        <v>825</v>
      </c>
      <c r="B835">
        <v>1618739.54150472</v>
      </c>
      <c r="C835">
        <v>138597.69727870519</v>
      </c>
      <c r="D835">
        <v>74293.760200378441</v>
      </c>
      <c r="E835">
        <v>193294.75884940487</v>
      </c>
      <c r="F835">
        <v>49381.944843420337</v>
      </c>
      <c r="G835">
        <v>10000</v>
      </c>
      <c r="H835">
        <v>445568.16117190884</v>
      </c>
      <c r="I835">
        <v>33.206791540940216</v>
      </c>
    </row>
    <row r="836" spans="1:9" x14ac:dyDescent="0.2">
      <c r="A836">
        <v>826</v>
      </c>
      <c r="B836">
        <v>1613397.0254391448</v>
      </c>
      <c r="C836">
        <v>136204.57958022703</v>
      </c>
      <c r="D836">
        <v>94002.36328573605</v>
      </c>
      <c r="E836">
        <v>175731.03693054357</v>
      </c>
      <c r="F836">
        <v>48165.994864422253</v>
      </c>
      <c r="G836">
        <v>10000</v>
      </c>
      <c r="H836">
        <v>444103.97466092894</v>
      </c>
      <c r="I836">
        <v>34.505089640173907</v>
      </c>
    </row>
    <row r="837" spans="1:9" x14ac:dyDescent="0.2">
      <c r="A837">
        <v>827</v>
      </c>
      <c r="B837">
        <v>1428148.3231214378</v>
      </c>
      <c r="C837">
        <v>143472.2216436711</v>
      </c>
      <c r="D837">
        <v>166905.71890439265</v>
      </c>
      <c r="E837">
        <v>53268.389064179355</v>
      </c>
      <c r="F837">
        <v>39687.811550597035</v>
      </c>
      <c r="G837">
        <v>10000</v>
      </c>
      <c r="H837">
        <v>393334.14116284013</v>
      </c>
      <c r="I837">
        <v>32.972155351969633</v>
      </c>
    </row>
    <row r="838" spans="1:9" x14ac:dyDescent="0.2">
      <c r="A838">
        <v>828</v>
      </c>
      <c r="B838">
        <v>1409894.580176275</v>
      </c>
      <c r="C838">
        <v>139913.78998596343</v>
      </c>
      <c r="D838">
        <v>76183.460054537281</v>
      </c>
      <c r="E838">
        <v>136765.81142741241</v>
      </c>
      <c r="F838">
        <v>45468.402329590084</v>
      </c>
      <c r="G838">
        <v>10000</v>
      </c>
      <c r="H838">
        <v>388331.46379750315</v>
      </c>
      <c r="I838">
        <v>32.815532596607554</v>
      </c>
    </row>
    <row r="839" spans="1:9" x14ac:dyDescent="0.2">
      <c r="A839">
        <v>829</v>
      </c>
      <c r="B839">
        <v>1134676.0784602237</v>
      </c>
      <c r="C839">
        <v>115179.83104984979</v>
      </c>
      <c r="D839">
        <v>65178.853304969809</v>
      </c>
      <c r="E839">
        <v>99646.911540839355</v>
      </c>
      <c r="F839">
        <v>42898.632337442723</v>
      </c>
      <c r="G839">
        <v>10000</v>
      </c>
      <c r="H839">
        <v>312904.22823310166</v>
      </c>
      <c r="I839">
        <v>28.332040073067382</v>
      </c>
    </row>
    <row r="840" spans="1:9" x14ac:dyDescent="0.2">
      <c r="A840">
        <v>830</v>
      </c>
      <c r="B840">
        <v>997127.7778017557</v>
      </c>
      <c r="C840">
        <v>113035.42656252184</v>
      </c>
      <c r="D840">
        <v>67111.281124420813</v>
      </c>
      <c r="E840">
        <v>64589.056873321795</v>
      </c>
      <c r="F840">
        <v>40471.550091229969</v>
      </c>
      <c r="G840">
        <v>10000</v>
      </c>
      <c r="H840">
        <v>275207.31465149444</v>
      </c>
      <c r="I840">
        <v>55.123422609459624</v>
      </c>
    </row>
    <row r="841" spans="1:9" x14ac:dyDescent="0.2">
      <c r="A841">
        <v>831</v>
      </c>
      <c r="B841">
        <v>1553500.930882778</v>
      </c>
      <c r="C841">
        <v>163145.97205627101</v>
      </c>
      <c r="D841">
        <v>78803.8434862219</v>
      </c>
      <c r="E841">
        <v>149396.04658347362</v>
      </c>
      <c r="F841">
        <v>46342.803225009709</v>
      </c>
      <c r="G841">
        <v>10000</v>
      </c>
      <c r="H841">
        <v>427688.66535097623</v>
      </c>
      <c r="I841">
        <v>32.862454395879908</v>
      </c>
    </row>
    <row r="842" spans="1:9" x14ac:dyDescent="0.2">
      <c r="A842">
        <v>832</v>
      </c>
      <c r="B842">
        <v>1189893.1031129009</v>
      </c>
      <c r="C842">
        <v>79247.083530274176</v>
      </c>
      <c r="D842">
        <v>42771.65791931987</v>
      </c>
      <c r="E842">
        <v>168362.56575681391</v>
      </c>
      <c r="F842">
        <v>47655.869937010197</v>
      </c>
      <c r="G842">
        <v>10000</v>
      </c>
      <c r="H842">
        <v>328037.17714341811</v>
      </c>
      <c r="I842">
        <v>44.556494311890077</v>
      </c>
    </row>
    <row r="843" spans="1:9" x14ac:dyDescent="0.2">
      <c r="A843">
        <v>833</v>
      </c>
      <c r="B843">
        <v>1640863.5013434184</v>
      </c>
      <c r="C843">
        <v>140076.17356100862</v>
      </c>
      <c r="D843">
        <v>158641.3636438043</v>
      </c>
      <c r="E843">
        <v>118696.53270503518</v>
      </c>
      <c r="F843">
        <v>44217.452264194748</v>
      </c>
      <c r="G843">
        <v>10000</v>
      </c>
      <c r="H843">
        <v>451631.52217404282</v>
      </c>
      <c r="I843">
        <v>28.174905652533589</v>
      </c>
    </row>
    <row r="844" spans="1:9" x14ac:dyDescent="0.2">
      <c r="A844">
        <v>834</v>
      </c>
      <c r="B844">
        <v>1444644.9413881223</v>
      </c>
      <c r="C844">
        <v>125576.31803554529</v>
      </c>
      <c r="D844">
        <v>71771.874486256813</v>
      </c>
      <c r="E844">
        <v>163208.04450538129</v>
      </c>
      <c r="F844">
        <v>47299.018465757166</v>
      </c>
      <c r="G844">
        <v>10000</v>
      </c>
      <c r="H844">
        <v>397855.25549294055</v>
      </c>
      <c r="I844">
        <v>37.247432034557328</v>
      </c>
    </row>
    <row r="845" spans="1:9" x14ac:dyDescent="0.2">
      <c r="A845">
        <v>835</v>
      </c>
      <c r="B845">
        <v>1335330.8968809647</v>
      </c>
      <c r="C845">
        <v>109716.35602194449</v>
      </c>
      <c r="D845">
        <v>58083.032663919104</v>
      </c>
      <c r="E845">
        <v>162824.45846364475</v>
      </c>
      <c r="F845">
        <v>47272.462509021563</v>
      </c>
      <c r="G845">
        <v>10000</v>
      </c>
      <c r="H845">
        <v>367896.30965852988</v>
      </c>
      <c r="I845">
        <v>28.536093134317063</v>
      </c>
    </row>
    <row r="846" spans="1:9" x14ac:dyDescent="0.2">
      <c r="A846">
        <v>836</v>
      </c>
      <c r="B846">
        <v>853352.43698384194</v>
      </c>
      <c r="C846">
        <v>104884.39977897791</v>
      </c>
      <c r="D846">
        <v>36528.1358647737</v>
      </c>
      <c r="E846">
        <v>63963.052194792625</v>
      </c>
      <c r="F846">
        <v>40428.211305793338</v>
      </c>
      <c r="G846">
        <v>10000</v>
      </c>
      <c r="H846">
        <v>235803.79914433759</v>
      </c>
      <c r="I846">
        <v>27.179154413715864</v>
      </c>
    </row>
    <row r="847" spans="1:9" x14ac:dyDescent="0.2">
      <c r="A847">
        <v>837</v>
      </c>
      <c r="B847">
        <v>1141084.9039801916</v>
      </c>
      <c r="C847">
        <v>124355.71057209806</v>
      </c>
      <c r="D847">
        <v>85297.036791818682</v>
      </c>
      <c r="E847">
        <v>73892.283805942454</v>
      </c>
      <c r="F847">
        <v>41115.619648103711</v>
      </c>
      <c r="G847">
        <v>10000</v>
      </c>
      <c r="H847">
        <v>314660.65081796295</v>
      </c>
      <c r="I847">
        <v>47.868706635559768</v>
      </c>
    </row>
    <row r="848" spans="1:9" x14ac:dyDescent="0.2">
      <c r="A848">
        <v>838</v>
      </c>
      <c r="B848">
        <v>1229921.2798130885</v>
      </c>
      <c r="C848">
        <v>169152.62390466686</v>
      </c>
      <c r="D848">
        <v>46973.402399577506</v>
      </c>
      <c r="E848">
        <v>90608.500795919375</v>
      </c>
      <c r="F848">
        <v>42272.896208948267</v>
      </c>
      <c r="G848">
        <v>10000</v>
      </c>
      <c r="H848">
        <v>339007.42330911203</v>
      </c>
      <c r="I848">
        <v>34.758349772772519</v>
      </c>
    </row>
    <row r="849" spans="1:9" x14ac:dyDescent="0.2">
      <c r="A849">
        <v>839</v>
      </c>
      <c r="B849">
        <v>1822926.4587018776</v>
      </c>
      <c r="C849">
        <v>137758.32341317422</v>
      </c>
      <c r="D849">
        <v>122449.29671328441</v>
      </c>
      <c r="E849">
        <v>201379.01620945314</v>
      </c>
      <c r="F849">
        <v>49941.624199115991</v>
      </c>
      <c r="G849">
        <v>10000</v>
      </c>
      <c r="H849">
        <v>501528.26053502783</v>
      </c>
      <c r="I849">
        <v>37.425810949943383</v>
      </c>
    </row>
    <row r="850" spans="1:9" x14ac:dyDescent="0.2">
      <c r="A850">
        <v>840</v>
      </c>
      <c r="B850">
        <v>1301528.8678766601</v>
      </c>
      <c r="C850">
        <v>100527.59633443085</v>
      </c>
      <c r="D850">
        <v>156962.81004876614</v>
      </c>
      <c r="E850">
        <v>70276.704156126754</v>
      </c>
      <c r="F850">
        <v>40865.310287731852</v>
      </c>
      <c r="G850">
        <v>10000</v>
      </c>
      <c r="H850">
        <v>358632.42082705564</v>
      </c>
      <c r="I850">
        <v>49.401782073257287</v>
      </c>
    </row>
    <row r="851" spans="1:9" x14ac:dyDescent="0.2">
      <c r="A851">
        <v>841</v>
      </c>
      <c r="B851">
        <v>1698443.0582609782</v>
      </c>
      <c r="C851">
        <v>86223.623728126753</v>
      </c>
      <c r="D851">
        <v>148652.9088555963</v>
      </c>
      <c r="E851">
        <v>193162.62434528302</v>
      </c>
      <c r="F851">
        <v>49372.797070058055</v>
      </c>
      <c r="G851">
        <v>10000</v>
      </c>
      <c r="H851">
        <v>467411.95399906416</v>
      </c>
      <c r="I851">
        <v>34.118781100883091</v>
      </c>
    </row>
    <row r="852" spans="1:9" x14ac:dyDescent="0.2">
      <c r="A852">
        <v>842</v>
      </c>
      <c r="B852">
        <v>1383282.5474342494</v>
      </c>
      <c r="C852">
        <v>108690.03247770012</v>
      </c>
      <c r="D852">
        <v>92236.2997985291</v>
      </c>
      <c r="E852">
        <v>144133.29636992334</v>
      </c>
      <c r="F852">
        <v>45978.458979456227</v>
      </c>
      <c r="G852">
        <v>10000</v>
      </c>
      <c r="H852">
        <v>381038.08762560878</v>
      </c>
      <c r="I852">
        <v>43.171469515469234</v>
      </c>
    </row>
    <row r="853" spans="1:9" x14ac:dyDescent="0.2">
      <c r="A853">
        <v>843</v>
      </c>
      <c r="B853">
        <v>1080047.3295108476</v>
      </c>
      <c r="C853">
        <v>152707.45579102126</v>
      </c>
      <c r="D853">
        <v>45397.612434333292</v>
      </c>
      <c r="E853">
        <v>69047.24207762201</v>
      </c>
      <c r="F853">
        <v>40780.193682296907</v>
      </c>
      <c r="G853">
        <v>10000</v>
      </c>
      <c r="H853">
        <v>297932.50398527342</v>
      </c>
      <c r="I853">
        <v>34.893603315763869</v>
      </c>
    </row>
    <row r="854" spans="1:9" x14ac:dyDescent="0.2">
      <c r="A854">
        <v>844</v>
      </c>
      <c r="B854">
        <v>1092805.1959554681</v>
      </c>
      <c r="C854">
        <v>127522.45155371194</v>
      </c>
      <c r="D854">
        <v>58519.76724895159</v>
      </c>
      <c r="E854">
        <v>83599.114590723169</v>
      </c>
      <c r="F854">
        <v>41787.631010126992</v>
      </c>
      <c r="G854">
        <v>10000</v>
      </c>
      <c r="H854">
        <v>301428.9644035137</v>
      </c>
      <c r="I854">
        <v>51.093859543853135</v>
      </c>
    </row>
    <row r="855" spans="1:9" x14ac:dyDescent="0.2">
      <c r="A855">
        <v>845</v>
      </c>
      <c r="B855">
        <v>886949.93586140289</v>
      </c>
      <c r="C855">
        <v>94500.347678436345</v>
      </c>
      <c r="D855">
        <v>84540.426827605028</v>
      </c>
      <c r="E855">
        <v>37382.818059090612</v>
      </c>
      <c r="F855">
        <v>38588.041250244729</v>
      </c>
      <c r="G855">
        <v>10000</v>
      </c>
      <c r="H855">
        <v>245011.63381537673</v>
      </c>
      <c r="I855">
        <v>32.097737325011124</v>
      </c>
    </row>
    <row r="856" spans="1:9" x14ac:dyDescent="0.2">
      <c r="A856">
        <v>846</v>
      </c>
      <c r="B856">
        <v>1392579.029737642</v>
      </c>
      <c r="C856">
        <v>104759.21945787038</v>
      </c>
      <c r="D856">
        <v>92532.486249564696</v>
      </c>
      <c r="E856">
        <v>149915.4432173032</v>
      </c>
      <c r="F856">
        <v>46378.761453505605</v>
      </c>
      <c r="G856">
        <v>10000</v>
      </c>
      <c r="H856">
        <v>383585.91037824389</v>
      </c>
      <c r="I856">
        <v>32.629892061250217</v>
      </c>
    </row>
    <row r="857" spans="1:9" x14ac:dyDescent="0.2">
      <c r="A857">
        <v>847</v>
      </c>
      <c r="B857">
        <v>1670863.3594087739</v>
      </c>
      <c r="C857">
        <v>158052.24113891073</v>
      </c>
      <c r="D857">
        <v>155616.24950604662</v>
      </c>
      <c r="E857">
        <v>112403.13042565672</v>
      </c>
      <c r="F857">
        <v>43781.755183314701</v>
      </c>
      <c r="G857">
        <v>10000</v>
      </c>
      <c r="H857">
        <v>459853.37625392876</v>
      </c>
      <c r="I857">
        <v>44.762983836977341</v>
      </c>
    </row>
    <row r="858" spans="1:9" x14ac:dyDescent="0.2">
      <c r="A858">
        <v>848</v>
      </c>
      <c r="B858">
        <v>1724430.5384377309</v>
      </c>
      <c r="C858">
        <v>131119.48528631424</v>
      </c>
      <c r="D858">
        <v>111446.79924948604</v>
      </c>
      <c r="E858">
        <v>192631.82911545236</v>
      </c>
      <c r="F858">
        <v>49336.049707992854</v>
      </c>
      <c r="G858">
        <v>10000</v>
      </c>
      <c r="H858">
        <v>474534.16335924552</v>
      </c>
      <c r="I858">
        <v>29.223782666057755</v>
      </c>
    </row>
    <row r="859" spans="1:9" x14ac:dyDescent="0.2">
      <c r="A859">
        <v>849</v>
      </c>
      <c r="B859">
        <v>1390505.3776298617</v>
      </c>
      <c r="C859">
        <v>96004.347765745712</v>
      </c>
      <c r="D859">
        <v>79964.350907367625</v>
      </c>
      <c r="E859">
        <v>169326.30952236603</v>
      </c>
      <c r="F859">
        <v>47722.590659240726</v>
      </c>
      <c r="G859">
        <v>10000</v>
      </c>
      <c r="H859">
        <v>383017.59885472013</v>
      </c>
      <c r="I859">
        <v>33.214268877508289</v>
      </c>
    </row>
    <row r="860" spans="1:9" x14ac:dyDescent="0.2">
      <c r="A860">
        <v>850</v>
      </c>
      <c r="B860">
        <v>1095638.7263055919</v>
      </c>
      <c r="C860">
        <v>127238.46543735934</v>
      </c>
      <c r="D860">
        <v>98584.260410965348</v>
      </c>
      <c r="E860">
        <v>47120.608679401288</v>
      </c>
      <c r="F860">
        <v>39262.195985497012</v>
      </c>
      <c r="G860">
        <v>10000</v>
      </c>
      <c r="H860">
        <v>302205.53051322303</v>
      </c>
      <c r="I860">
        <v>45.318056246883017</v>
      </c>
    </row>
    <row r="861" spans="1:9" x14ac:dyDescent="0.2">
      <c r="A861">
        <v>851</v>
      </c>
      <c r="B861">
        <v>1304715.6675676482</v>
      </c>
      <c r="C861">
        <v>110519.94841974216</v>
      </c>
      <c r="D861">
        <v>63909.572246117023</v>
      </c>
      <c r="E861">
        <v>148776.38105737758</v>
      </c>
      <c r="F861">
        <v>46299.9033039723</v>
      </c>
      <c r="G861">
        <v>10000</v>
      </c>
      <c r="H861">
        <v>359505.80502720911</v>
      </c>
      <c r="I861">
        <v>42.414568843070825</v>
      </c>
    </row>
    <row r="862" spans="1:9" x14ac:dyDescent="0.2">
      <c r="A862">
        <v>852</v>
      </c>
      <c r="B862">
        <v>1127182.0128689166</v>
      </c>
      <c r="C862">
        <v>107976.52427028645</v>
      </c>
      <c r="D862">
        <v>104969.56908751575</v>
      </c>
      <c r="E862">
        <v>67248.614707126704</v>
      </c>
      <c r="F862">
        <v>40655.673325878008</v>
      </c>
      <c r="G862">
        <v>10000</v>
      </c>
      <c r="H862">
        <v>310850.38139080687</v>
      </c>
      <c r="I862">
        <v>28.635608098969918</v>
      </c>
    </row>
    <row r="863" spans="1:9" x14ac:dyDescent="0.2">
      <c r="A863">
        <v>853</v>
      </c>
      <c r="B863">
        <v>1123767.3531582854</v>
      </c>
      <c r="C863">
        <v>89356.182724841667</v>
      </c>
      <c r="D863">
        <v>77314.910129989919</v>
      </c>
      <c r="E863">
        <v>109652.15338591507</v>
      </c>
      <c r="F863">
        <v>43591.302926717195</v>
      </c>
      <c r="G863">
        <v>10000</v>
      </c>
      <c r="H863">
        <v>309914.54916746391</v>
      </c>
      <c r="I863">
        <v>33.223925893427889</v>
      </c>
    </row>
    <row r="864" spans="1:9" x14ac:dyDescent="0.2">
      <c r="A864">
        <v>854</v>
      </c>
      <c r="B864">
        <v>1571056.8325802942</v>
      </c>
      <c r="C864">
        <v>111928.56545955117</v>
      </c>
      <c r="D864">
        <v>110779.79595252679</v>
      </c>
      <c r="E864">
        <v>171891.54489195204</v>
      </c>
      <c r="F864">
        <v>47900.183877135139</v>
      </c>
      <c r="G864">
        <v>10000</v>
      </c>
      <c r="H864">
        <v>432500.09018116514</v>
      </c>
      <c r="I864">
        <v>30.111314506635232</v>
      </c>
    </row>
    <row r="865" spans="1:9" x14ac:dyDescent="0.2">
      <c r="A865">
        <v>855</v>
      </c>
      <c r="B865">
        <v>1291451.6725994106</v>
      </c>
      <c r="C865">
        <v>141957.27127776601</v>
      </c>
      <c r="D865">
        <v>154325.65020455219</v>
      </c>
      <c r="E865">
        <v>31412.96803400906</v>
      </c>
      <c r="F865">
        <v>38174.743940816013</v>
      </c>
      <c r="G865">
        <v>10000</v>
      </c>
      <c r="H865">
        <v>355870.63345714327</v>
      </c>
      <c r="I865">
        <v>30.98550167378675</v>
      </c>
    </row>
    <row r="866" spans="1:9" x14ac:dyDescent="0.2">
      <c r="A866">
        <v>856</v>
      </c>
      <c r="B866">
        <v>1045230.469852322</v>
      </c>
      <c r="C866">
        <v>127673.29402434701</v>
      </c>
      <c r="D866">
        <v>98772.599717687714</v>
      </c>
      <c r="E866">
        <v>33617.245978869061</v>
      </c>
      <c r="F866">
        <v>38327.347798537092</v>
      </c>
      <c r="G866">
        <v>10000</v>
      </c>
      <c r="H866">
        <v>288390.48751944088</v>
      </c>
      <c r="I866">
        <v>42.097903034259474</v>
      </c>
    </row>
    <row r="867" spans="1:9" x14ac:dyDescent="0.2">
      <c r="A867">
        <v>857</v>
      </c>
      <c r="B867">
        <v>977837.46143612685</v>
      </c>
      <c r="C867">
        <v>90214.822496499735</v>
      </c>
      <c r="D867">
        <v>27985.722654946068</v>
      </c>
      <c r="E867">
        <v>117579.86136229045</v>
      </c>
      <c r="F867">
        <v>44140.144248158569</v>
      </c>
      <c r="G867">
        <v>10000</v>
      </c>
      <c r="H867">
        <v>269920.55076189485</v>
      </c>
      <c r="I867">
        <v>37.880161051245778</v>
      </c>
    </row>
    <row r="868" spans="1:9" x14ac:dyDescent="0.2">
      <c r="A868">
        <v>858</v>
      </c>
      <c r="B868">
        <v>867213.70919774962</v>
      </c>
      <c r="C868">
        <v>95540.214784349519</v>
      </c>
      <c r="D868">
        <v>67789.853837558388</v>
      </c>
      <c r="E868">
        <v>47017.533718891391</v>
      </c>
      <c r="F868">
        <v>39255.060026692481</v>
      </c>
      <c r="G868">
        <v>10000</v>
      </c>
      <c r="H868">
        <v>239602.66236749178</v>
      </c>
      <c r="I868">
        <v>29.511045715902405</v>
      </c>
    </row>
    <row r="869" spans="1:9" x14ac:dyDescent="0.2">
      <c r="A869">
        <v>859</v>
      </c>
      <c r="B869">
        <v>1480822.0019165375</v>
      </c>
      <c r="C869">
        <v>111045.14432344415</v>
      </c>
      <c r="D869">
        <v>79276.322094618168</v>
      </c>
      <c r="E869">
        <v>179052.63476893125</v>
      </c>
      <c r="F869">
        <v>48395.951637849088</v>
      </c>
      <c r="G869">
        <v>10000</v>
      </c>
      <c r="H869">
        <v>407770.05282484269</v>
      </c>
      <c r="I869">
        <v>53.522185427168402</v>
      </c>
    </row>
    <row r="870" spans="1:9" x14ac:dyDescent="0.2">
      <c r="A870">
        <v>860</v>
      </c>
      <c r="B870">
        <v>1223073.2944133657</v>
      </c>
      <c r="C870">
        <v>146251.23214392966</v>
      </c>
      <c r="D870">
        <v>65424.386346593092</v>
      </c>
      <c r="E870">
        <v>93015.490741578091</v>
      </c>
      <c r="F870">
        <v>42439.533974416947</v>
      </c>
      <c r="G870">
        <v>10000</v>
      </c>
      <c r="H870">
        <v>337130.64320651779</v>
      </c>
      <c r="I870">
        <v>42.156517760650367</v>
      </c>
    </row>
    <row r="871" spans="1:9" x14ac:dyDescent="0.2">
      <c r="A871">
        <v>861</v>
      </c>
      <c r="B871">
        <v>1066829.6005863759</v>
      </c>
      <c r="C871">
        <v>144810.55596852049</v>
      </c>
      <c r="D871">
        <v>50248.399589654611</v>
      </c>
      <c r="E871">
        <v>68508.182499347487</v>
      </c>
      <c r="F871">
        <v>40742.874173031749</v>
      </c>
      <c r="G871">
        <v>10000</v>
      </c>
      <c r="H871">
        <v>294310.01223055436</v>
      </c>
      <c r="I871">
        <v>29.645116992682908</v>
      </c>
    </row>
    <row r="872" spans="1:9" x14ac:dyDescent="0.2">
      <c r="A872">
        <v>862</v>
      </c>
      <c r="B872">
        <v>1192564.3525936911</v>
      </c>
      <c r="C872">
        <v>100939.26556172017</v>
      </c>
      <c r="D872">
        <v>31855.315141862822</v>
      </c>
      <c r="E872">
        <v>158969.13205539537</v>
      </c>
      <c r="F872">
        <v>47005.55529614276</v>
      </c>
      <c r="G872">
        <v>10000</v>
      </c>
      <c r="H872">
        <v>328769.26805512112</v>
      </c>
      <c r="I872">
        <v>38.26654071774017</v>
      </c>
    </row>
    <row r="873" spans="1:9" x14ac:dyDescent="0.2">
      <c r="A873">
        <v>863</v>
      </c>
      <c r="B873">
        <v>803382.39796431176</v>
      </c>
      <c r="C873">
        <v>93689.930208281061</v>
      </c>
      <c r="D873">
        <v>65275.643758704617</v>
      </c>
      <c r="E873">
        <v>34738.320744686942</v>
      </c>
      <c r="F873">
        <v>38404.960666939864</v>
      </c>
      <c r="G873">
        <v>10000</v>
      </c>
      <c r="H873">
        <v>222108.85537861247</v>
      </c>
      <c r="I873">
        <v>29.467683771698852</v>
      </c>
    </row>
    <row r="874" spans="1:9" x14ac:dyDescent="0.2">
      <c r="A874">
        <v>864</v>
      </c>
      <c r="B874">
        <v>1398984.7491088151</v>
      </c>
      <c r="C874">
        <v>94775.323844219369</v>
      </c>
      <c r="D874">
        <v>97161.636504552735</v>
      </c>
      <c r="E874">
        <v>156565.37966448758</v>
      </c>
      <c r="F874">
        <v>46839.141669079909</v>
      </c>
      <c r="G874">
        <v>10000</v>
      </c>
      <c r="H874">
        <v>385341.48168233957</v>
      </c>
      <c r="I874">
        <v>28.871496504404334</v>
      </c>
    </row>
    <row r="875" spans="1:9" x14ac:dyDescent="0.2">
      <c r="A875">
        <v>865</v>
      </c>
      <c r="B875">
        <v>1628437.3730487528</v>
      </c>
      <c r="C875">
        <v>84224.337471623803</v>
      </c>
      <c r="D875">
        <v>148580.91507533629</v>
      </c>
      <c r="E875">
        <v>177156.07504509841</v>
      </c>
      <c r="F875">
        <v>48264.651349276042</v>
      </c>
      <c r="G875">
        <v>10000</v>
      </c>
      <c r="H875">
        <v>448225.97894133453</v>
      </c>
      <c r="I875">
        <v>48.328621980092365</v>
      </c>
    </row>
    <row r="876" spans="1:9" x14ac:dyDescent="0.2">
      <c r="A876">
        <v>866</v>
      </c>
      <c r="B876">
        <v>1613178.7723413145</v>
      </c>
      <c r="C876">
        <v>109244.8170491629</v>
      </c>
      <c r="D876">
        <v>117508.60003687012</v>
      </c>
      <c r="E876">
        <v>178905.01092864398</v>
      </c>
      <c r="F876">
        <v>48385.731525829193</v>
      </c>
      <c r="G876">
        <v>10000</v>
      </c>
      <c r="H876">
        <v>444044.1595405062</v>
      </c>
      <c r="I876">
        <v>30.7824178507597</v>
      </c>
    </row>
    <row r="877" spans="1:9" x14ac:dyDescent="0.2">
      <c r="A877">
        <v>867</v>
      </c>
      <c r="B877">
        <v>1254378.9226864821</v>
      </c>
      <c r="C877">
        <v>103820.49340100291</v>
      </c>
      <c r="D877">
        <v>82281.676061530059</v>
      </c>
      <c r="E877">
        <v>124957.30117278743</v>
      </c>
      <c r="F877">
        <v>44650.890081192978</v>
      </c>
      <c r="G877">
        <v>10000</v>
      </c>
      <c r="H877">
        <v>345710.36071651336</v>
      </c>
      <c r="I877">
        <v>46.155609346107397</v>
      </c>
    </row>
    <row r="878" spans="1:9" x14ac:dyDescent="0.2">
      <c r="A878">
        <v>868</v>
      </c>
      <c r="B878">
        <v>1295048.0840962441</v>
      </c>
      <c r="C878">
        <v>97805.257982123745</v>
      </c>
      <c r="D878">
        <v>65977.042322444031</v>
      </c>
      <c r="E878">
        <v>156256.2373265269</v>
      </c>
      <c r="F878">
        <v>46817.739507221093</v>
      </c>
      <c r="G878">
        <v>10000</v>
      </c>
      <c r="H878">
        <v>356856.27713831578</v>
      </c>
      <c r="I878">
        <v>34.263361670784846</v>
      </c>
    </row>
    <row r="879" spans="1:9" x14ac:dyDescent="0.2">
      <c r="A879">
        <v>869</v>
      </c>
      <c r="B879">
        <v>1381716.1323587659</v>
      </c>
      <c r="C879">
        <v>105816.67661336473</v>
      </c>
      <c r="D879">
        <v>84094.202885846826</v>
      </c>
      <c r="E879">
        <v>154034.01800203626</v>
      </c>
      <c r="F879">
        <v>46663.893553987131</v>
      </c>
      <c r="G879">
        <v>10000</v>
      </c>
      <c r="H879">
        <v>380608.79105523496</v>
      </c>
      <c r="I879">
        <v>35.402190595124509</v>
      </c>
    </row>
    <row r="880" spans="1:9" x14ac:dyDescent="0.2">
      <c r="A880">
        <v>870</v>
      </c>
      <c r="B880">
        <v>1860420.9358261365</v>
      </c>
      <c r="C880">
        <v>125220.21352254074</v>
      </c>
      <c r="D880">
        <v>144007.27567627968</v>
      </c>
      <c r="E880">
        <v>202553.67706939756</v>
      </c>
      <c r="F880">
        <v>50022.946874035217</v>
      </c>
      <c r="G880">
        <v>10000</v>
      </c>
      <c r="H880">
        <v>511804.11314225319</v>
      </c>
      <c r="I880">
        <v>36.446563072932662</v>
      </c>
    </row>
    <row r="881" spans="1:9" x14ac:dyDescent="0.2">
      <c r="A881">
        <v>871</v>
      </c>
      <c r="B881">
        <v>1508452.2422332149</v>
      </c>
      <c r="C881">
        <v>116577.52577352244</v>
      </c>
      <c r="D881">
        <v>148511.82381299927</v>
      </c>
      <c r="E881">
        <v>116207.96567914303</v>
      </c>
      <c r="F881">
        <v>44045.166854709896</v>
      </c>
      <c r="G881">
        <v>10000</v>
      </c>
      <c r="H881">
        <v>415342.48212037468</v>
      </c>
      <c r="I881">
        <v>35.123247373067741</v>
      </c>
    </row>
    <row r="882" spans="1:9" x14ac:dyDescent="0.2">
      <c r="A882">
        <v>872</v>
      </c>
      <c r="B882">
        <v>1112797.4433525333</v>
      </c>
      <c r="C882">
        <v>144773.82352012704</v>
      </c>
      <c r="D882">
        <v>70465.944983108289</v>
      </c>
      <c r="E882">
        <v>61416.426718705508</v>
      </c>
      <c r="F882">
        <v>40251.906465141146</v>
      </c>
      <c r="G882">
        <v>10000</v>
      </c>
      <c r="H882">
        <v>306908.10168708203</v>
      </c>
      <c r="I882">
        <v>42.732677037580565</v>
      </c>
    </row>
    <row r="883" spans="1:9" x14ac:dyDescent="0.2">
      <c r="A883">
        <v>873</v>
      </c>
      <c r="B883">
        <v>1317168.1928005554</v>
      </c>
      <c r="C883">
        <v>148061.75676793128</v>
      </c>
      <c r="D883">
        <v>84138.029602035414</v>
      </c>
      <c r="E883">
        <v>97938.442598312453</v>
      </c>
      <c r="F883">
        <v>42780.353718344704</v>
      </c>
      <c r="G883">
        <v>10000</v>
      </c>
      <c r="H883">
        <v>362918.58268662385</v>
      </c>
      <c r="I883">
        <v>29.039214436521004</v>
      </c>
    </row>
    <row r="884" spans="1:9" x14ac:dyDescent="0.2">
      <c r="A884">
        <v>874</v>
      </c>
      <c r="B884">
        <v>1221673.9158196154</v>
      </c>
      <c r="C884">
        <v>144465.88739192483</v>
      </c>
      <c r="D884">
        <v>64938.802766731533</v>
      </c>
      <c r="E884">
        <v>94780.694616818335</v>
      </c>
      <c r="F884">
        <v>42561.740396548958</v>
      </c>
      <c r="G884">
        <v>10000</v>
      </c>
      <c r="H884">
        <v>336747.1251720236</v>
      </c>
      <c r="I884">
        <v>38.488971658530701</v>
      </c>
    </row>
    <row r="885" spans="1:9" x14ac:dyDescent="0.2">
      <c r="A885">
        <v>875</v>
      </c>
      <c r="B885">
        <v>1330013.2651606346</v>
      </c>
      <c r="C885">
        <v>128907.49782564714</v>
      </c>
      <c r="D885">
        <v>71641.745647833086</v>
      </c>
      <c r="E885">
        <v>130832.09310885404</v>
      </c>
      <c r="F885">
        <v>45057.606445997582</v>
      </c>
      <c r="G885">
        <v>10000</v>
      </c>
      <c r="H885">
        <v>366438.94302833185</v>
      </c>
      <c r="I885">
        <v>36.676713559132679</v>
      </c>
    </row>
    <row r="886" spans="1:9" x14ac:dyDescent="0.2">
      <c r="A886">
        <v>876</v>
      </c>
      <c r="B886">
        <v>1243234.7796341567</v>
      </c>
      <c r="C886">
        <v>139892.83730890416</v>
      </c>
      <c r="D886">
        <v>77297.581530868891</v>
      </c>
      <c r="E886">
        <v>93025.515496864973</v>
      </c>
      <c r="F886">
        <v>42440.227995936802</v>
      </c>
      <c r="G886">
        <v>10000</v>
      </c>
      <c r="H886">
        <v>342656.16233257484</v>
      </c>
      <c r="I886">
        <v>32.279108395358364</v>
      </c>
    </row>
    <row r="887" spans="1:9" x14ac:dyDescent="0.2">
      <c r="A887">
        <v>877</v>
      </c>
      <c r="B887">
        <v>1208359.2091579712</v>
      </c>
      <c r="C887">
        <v>103636.73935537763</v>
      </c>
      <c r="D887">
        <v>68400.886655586437</v>
      </c>
      <c r="E887">
        <v>126315.50949875289</v>
      </c>
      <c r="F887">
        <v>44744.919888375203</v>
      </c>
      <c r="G887">
        <v>10000</v>
      </c>
      <c r="H887">
        <v>333098.05539809214</v>
      </c>
      <c r="I887">
        <v>36.056975822599206</v>
      </c>
    </row>
    <row r="888" spans="1:9" x14ac:dyDescent="0.2">
      <c r="A888">
        <v>878</v>
      </c>
      <c r="B888">
        <v>1088164.3042669273</v>
      </c>
      <c r="C888">
        <v>133462.86729547309</v>
      </c>
      <c r="D888">
        <v>71157.458879429745</v>
      </c>
      <c r="E888">
        <v>65034.362150810921</v>
      </c>
      <c r="F888">
        <v>40502.378918133058</v>
      </c>
      <c r="G888">
        <v>10000</v>
      </c>
      <c r="H888">
        <v>300157.06724384677</v>
      </c>
      <c r="I888">
        <v>43.849680311152831</v>
      </c>
    </row>
    <row r="889" spans="1:9" x14ac:dyDescent="0.2">
      <c r="A889">
        <v>879</v>
      </c>
      <c r="B889">
        <v>1717846.322756734</v>
      </c>
      <c r="C889">
        <v>153912.13946118986</v>
      </c>
      <c r="D889">
        <v>71083.947775258421</v>
      </c>
      <c r="E889">
        <v>207376.73470277933</v>
      </c>
      <c r="F889">
        <v>50356.85086403857</v>
      </c>
      <c r="G889">
        <v>10000</v>
      </c>
      <c r="H889">
        <v>472729.67280326621</v>
      </c>
      <c r="I889">
        <v>39.094925567204001</v>
      </c>
    </row>
    <row r="890" spans="1:9" x14ac:dyDescent="0.2">
      <c r="A890">
        <v>880</v>
      </c>
      <c r="B890">
        <v>1053076.1592271493</v>
      </c>
      <c r="C890">
        <v>87793.165295510786</v>
      </c>
      <c r="D890">
        <v>105112.64732401376</v>
      </c>
      <c r="E890">
        <v>66996.658633052022</v>
      </c>
      <c r="F890">
        <v>40638.230213057454</v>
      </c>
      <c r="G890">
        <v>10000</v>
      </c>
      <c r="H890">
        <v>290540.70146563405</v>
      </c>
      <c r="I890">
        <v>34.225643267041193</v>
      </c>
    </row>
    <row r="891" spans="1:9" x14ac:dyDescent="0.2">
      <c r="A891">
        <v>881</v>
      </c>
      <c r="B891">
        <v>901684.51773967454</v>
      </c>
      <c r="C891">
        <v>120107.0456484663</v>
      </c>
      <c r="D891">
        <v>52155.670948000152</v>
      </c>
      <c r="E891">
        <v>47498.74756397467</v>
      </c>
      <c r="F891">
        <v>39288.374831352092</v>
      </c>
      <c r="G891">
        <v>10000</v>
      </c>
      <c r="H891">
        <v>249049.83899179322</v>
      </c>
      <c r="I891">
        <v>39.639368395577804</v>
      </c>
    </row>
    <row r="892" spans="1:9" x14ac:dyDescent="0.2">
      <c r="A892">
        <v>882</v>
      </c>
      <c r="B892">
        <v>1293880.414618782</v>
      </c>
      <c r="C892">
        <v>100376.68661556199</v>
      </c>
      <c r="D892">
        <v>139255.99333380061</v>
      </c>
      <c r="E892">
        <v>85017.738629428641</v>
      </c>
      <c r="F892">
        <v>41885.843443575832</v>
      </c>
      <c r="G892">
        <v>10000</v>
      </c>
      <c r="H892">
        <v>356536.26202236704</v>
      </c>
      <c r="I892">
        <v>48.872950100467797</v>
      </c>
    </row>
    <row r="893" spans="1:9" x14ac:dyDescent="0.2">
      <c r="A893">
        <v>883</v>
      </c>
      <c r="B893">
        <v>1383067.7918188928</v>
      </c>
      <c r="C893">
        <v>108301.54515852718</v>
      </c>
      <c r="D893">
        <v>123450.07712908401</v>
      </c>
      <c r="E893">
        <v>115248.8427143883</v>
      </c>
      <c r="F893">
        <v>43978.766034073036</v>
      </c>
      <c r="G893">
        <v>10000</v>
      </c>
      <c r="H893">
        <v>380979.23103607254</v>
      </c>
      <c r="I893">
        <v>33.785613738366578</v>
      </c>
    </row>
    <row r="894" spans="1:9" x14ac:dyDescent="0.2">
      <c r="A894">
        <v>884</v>
      </c>
      <c r="B894">
        <v>891713.47394222277</v>
      </c>
      <c r="C894">
        <v>104182.66885940007</v>
      </c>
      <c r="D894">
        <v>67816.787231070732</v>
      </c>
      <c r="E894">
        <v>45189.204356436072</v>
      </c>
      <c r="F894">
        <v>39128.483378522491</v>
      </c>
      <c r="G894">
        <v>10000</v>
      </c>
      <c r="H894">
        <v>246317.14382542938</v>
      </c>
      <c r="I894">
        <v>31.59576530872264</v>
      </c>
    </row>
    <row r="895" spans="1:9" x14ac:dyDescent="0.2">
      <c r="A895">
        <v>885</v>
      </c>
      <c r="B895">
        <v>1563881.753121105</v>
      </c>
      <c r="C895">
        <v>146758.43780745997</v>
      </c>
      <c r="D895">
        <v>138569.9680742404</v>
      </c>
      <c r="E895">
        <v>111486.93361203074</v>
      </c>
      <c r="F895">
        <v>43718.326173140587</v>
      </c>
      <c r="G895">
        <v>10000</v>
      </c>
      <c r="H895">
        <v>430533.6656668717</v>
      </c>
      <c r="I895">
        <v>39.488026177965722</v>
      </c>
    </row>
    <row r="896" spans="1:9" x14ac:dyDescent="0.2">
      <c r="A896">
        <v>886</v>
      </c>
      <c r="B896">
        <v>1485794.3853425283</v>
      </c>
      <c r="C896">
        <v>94589.66297841334</v>
      </c>
      <c r="D896">
        <v>73216.680093028015</v>
      </c>
      <c r="E896">
        <v>201384.45578117485</v>
      </c>
      <c r="F896">
        <v>49942.00078485057</v>
      </c>
      <c r="G896">
        <v>10000</v>
      </c>
      <c r="H896">
        <v>409132.79963746679</v>
      </c>
      <c r="I896">
        <v>32.092948058028156</v>
      </c>
    </row>
    <row r="897" spans="1:9" x14ac:dyDescent="0.2">
      <c r="A897">
        <v>887</v>
      </c>
      <c r="B897">
        <v>1511319.5516525102</v>
      </c>
      <c r="C897">
        <v>114062.20486605012</v>
      </c>
      <c r="D897">
        <v>62378.781997169797</v>
      </c>
      <c r="E897">
        <v>199851.44939009237</v>
      </c>
      <c r="F897">
        <v>49835.869573160242</v>
      </c>
      <c r="G897">
        <v>10000</v>
      </c>
      <c r="H897">
        <v>416128.30582647253</v>
      </c>
      <c r="I897">
        <v>37.404301755315238</v>
      </c>
    </row>
    <row r="898" spans="1:9" x14ac:dyDescent="0.2">
      <c r="A898">
        <v>888</v>
      </c>
      <c r="B898">
        <v>1038643.3726272031</v>
      </c>
      <c r="C898">
        <v>111707.95191454198</v>
      </c>
      <c r="D898">
        <v>54215.528724794363</v>
      </c>
      <c r="E898">
        <v>88532.550056817417</v>
      </c>
      <c r="F898">
        <v>42129.176542395049</v>
      </c>
      <c r="G898">
        <v>10000</v>
      </c>
      <c r="H898">
        <v>286585.20723854878</v>
      </c>
      <c r="I898">
        <v>43.071561192715365</v>
      </c>
    </row>
    <row r="899" spans="1:9" x14ac:dyDescent="0.2">
      <c r="A899">
        <v>889</v>
      </c>
      <c r="B899">
        <v>1141141.7751849946</v>
      </c>
      <c r="C899">
        <v>96162.999888514241</v>
      </c>
      <c r="D899">
        <v>39482.204099071176</v>
      </c>
      <c r="E899">
        <v>143122.54896959322</v>
      </c>
      <c r="F899">
        <v>45908.484159433377</v>
      </c>
      <c r="G899">
        <v>10000</v>
      </c>
      <c r="H899">
        <v>314676.23711661203</v>
      </c>
      <c r="I899">
        <v>35.265755452399411</v>
      </c>
    </row>
    <row r="900" spans="1:9" x14ac:dyDescent="0.2">
      <c r="A900">
        <v>890</v>
      </c>
      <c r="B900">
        <v>1536094.327009798</v>
      </c>
      <c r="C900">
        <v>137728.27271920437</v>
      </c>
      <c r="D900">
        <v>43566.458800753258</v>
      </c>
      <c r="E900">
        <v>201662.19700211688</v>
      </c>
      <c r="F900">
        <v>49961.229023223474</v>
      </c>
      <c r="G900">
        <v>10000</v>
      </c>
      <c r="H900">
        <v>422918.15754529793</v>
      </c>
      <c r="I900">
        <v>33.074629242539388</v>
      </c>
    </row>
    <row r="901" spans="1:9" x14ac:dyDescent="0.2">
      <c r="A901">
        <v>891</v>
      </c>
      <c r="B901">
        <v>1228156.64353398</v>
      </c>
      <c r="C901">
        <v>123204.32762636755</v>
      </c>
      <c r="D901">
        <v>75317.121159823204</v>
      </c>
      <c r="E901">
        <v>106620.90552926336</v>
      </c>
      <c r="F901">
        <v>43381.447305872076</v>
      </c>
      <c r="G901">
        <v>10000</v>
      </c>
      <c r="H901">
        <v>338523.80162132625</v>
      </c>
      <c r="I901">
        <v>46.813603110487904</v>
      </c>
    </row>
    <row r="902" spans="1:9" x14ac:dyDescent="0.2">
      <c r="A902">
        <v>892</v>
      </c>
      <c r="B902">
        <v>1321083.2997496284</v>
      </c>
      <c r="C902">
        <v>157974.25904606326</v>
      </c>
      <c r="D902">
        <v>113949.65739923513</v>
      </c>
      <c r="E902">
        <v>61789.890907648965</v>
      </c>
      <c r="F902">
        <v>40277.761678221847</v>
      </c>
      <c r="G902">
        <v>10000</v>
      </c>
      <c r="H902">
        <v>363991.56903116923</v>
      </c>
      <c r="I902">
        <v>38.812055434389507</v>
      </c>
    </row>
    <row r="903" spans="1:9" x14ac:dyDescent="0.2">
      <c r="A903">
        <v>893</v>
      </c>
      <c r="B903">
        <v>1062617.6120296898</v>
      </c>
      <c r="C903">
        <v>98585.100950930777</v>
      </c>
      <c r="D903">
        <v>129750.41646787061</v>
      </c>
      <c r="E903">
        <v>36306.609658856774</v>
      </c>
      <c r="F903">
        <v>38513.534514843937</v>
      </c>
      <c r="G903">
        <v>10000</v>
      </c>
      <c r="H903">
        <v>293155.66159250209</v>
      </c>
      <c r="I903">
        <v>29.205317600819178</v>
      </c>
    </row>
    <row r="904" spans="1:9" x14ac:dyDescent="0.2">
      <c r="A904">
        <v>894</v>
      </c>
      <c r="B904">
        <v>1551592.7925867622</v>
      </c>
      <c r="C904">
        <v>142874.06442203218</v>
      </c>
      <c r="D904">
        <v>111220.77115434619</v>
      </c>
      <c r="E904">
        <v>137548.30454898824</v>
      </c>
      <c r="F904">
        <v>45522.574930314571</v>
      </c>
      <c r="G904">
        <v>10000</v>
      </c>
      <c r="H904">
        <v>427165.71505568118</v>
      </c>
      <c r="I904">
        <v>34.274860992135629</v>
      </c>
    </row>
    <row r="905" spans="1:9" x14ac:dyDescent="0.2">
      <c r="A905">
        <v>895</v>
      </c>
      <c r="B905">
        <v>1177581.2155274495</v>
      </c>
      <c r="C905">
        <v>98862.670813589342</v>
      </c>
      <c r="D905">
        <v>114390.73059027255</v>
      </c>
      <c r="E905">
        <v>79879.427460852909</v>
      </c>
      <c r="F905">
        <v>41530.114208828272</v>
      </c>
      <c r="G905">
        <v>10000</v>
      </c>
      <c r="H905">
        <v>324662.94307354302</v>
      </c>
      <c r="I905">
        <v>32.487075131593635</v>
      </c>
    </row>
    <row r="906" spans="1:9" x14ac:dyDescent="0.2">
      <c r="A906">
        <v>896</v>
      </c>
      <c r="B906">
        <v>1233547.4378486604</v>
      </c>
      <c r="C906">
        <v>121509.51800609638</v>
      </c>
      <c r="D906">
        <v>139366.95758027857</v>
      </c>
      <c r="E906">
        <v>49685.01221745502</v>
      </c>
      <c r="F906">
        <v>39439.731615054574</v>
      </c>
      <c r="G906">
        <v>10000</v>
      </c>
      <c r="H906">
        <v>340001.21941888455</v>
      </c>
      <c r="I906">
        <v>33.697359187191537</v>
      </c>
    </row>
    <row r="907" spans="1:9" x14ac:dyDescent="0.2">
      <c r="A907">
        <v>897</v>
      </c>
      <c r="B907">
        <v>878350.85815031291</v>
      </c>
      <c r="C907">
        <v>73914.089489103033</v>
      </c>
      <c r="D907">
        <v>84542.562905714745</v>
      </c>
      <c r="E907">
        <v>54430.056828447021</v>
      </c>
      <c r="F907">
        <v>39768.234703507871</v>
      </c>
      <c r="G907">
        <v>10000</v>
      </c>
      <c r="H907">
        <v>242654.94392677268</v>
      </c>
      <c r="I907">
        <v>27.497362011558948</v>
      </c>
    </row>
    <row r="908" spans="1:9" x14ac:dyDescent="0.2">
      <c r="A908">
        <v>898</v>
      </c>
      <c r="B908">
        <v>1342210.7444787435</v>
      </c>
      <c r="C908">
        <v>145001.86145218415</v>
      </c>
      <c r="D908">
        <v>58750.229907204477</v>
      </c>
      <c r="E908">
        <v>130963.05744664076</v>
      </c>
      <c r="F908">
        <v>45066.67320784436</v>
      </c>
      <c r="G908">
        <v>10000</v>
      </c>
      <c r="H908">
        <v>369781.82201387378</v>
      </c>
      <c r="I908">
        <v>32.203891226962547</v>
      </c>
    </row>
    <row r="909" spans="1:9" x14ac:dyDescent="0.2">
      <c r="A909">
        <v>899</v>
      </c>
      <c r="B909">
        <v>1037080.6732543125</v>
      </c>
      <c r="C909">
        <v>120077.83614919275</v>
      </c>
      <c r="D909">
        <v>103291.57046483415</v>
      </c>
      <c r="E909">
        <v>34405.596480900575</v>
      </c>
      <c r="F909">
        <v>38381.925910216189</v>
      </c>
      <c r="G909">
        <v>10000</v>
      </c>
      <c r="H909">
        <v>286156.92900514364</v>
      </c>
      <c r="I909">
        <v>28.04178694781745</v>
      </c>
    </row>
    <row r="910" spans="1:9" x14ac:dyDescent="0.2">
      <c r="A910">
        <v>900</v>
      </c>
      <c r="B910">
        <v>1567021.9490094101</v>
      </c>
      <c r="C910">
        <v>151276.59074058165</v>
      </c>
      <c r="D910">
        <v>68852.527629612348</v>
      </c>
      <c r="E910">
        <v>173269.57327230036</v>
      </c>
      <c r="F910">
        <v>47995.585841928485</v>
      </c>
      <c r="G910">
        <v>10000</v>
      </c>
      <c r="H910">
        <v>431394.27748442284</v>
      </c>
      <c r="I910">
        <v>28.874818250812702</v>
      </c>
    </row>
    <row r="911" spans="1:9" x14ac:dyDescent="0.2">
      <c r="A911">
        <v>901</v>
      </c>
      <c r="B911">
        <v>885436.08202606137</v>
      </c>
      <c r="C911">
        <v>97301.110085256369</v>
      </c>
      <c r="D911">
        <v>87195.841830955265</v>
      </c>
      <c r="E911">
        <v>31891.890325696248</v>
      </c>
      <c r="F911">
        <v>38207.900099471277</v>
      </c>
      <c r="G911">
        <v>10000</v>
      </c>
      <c r="H911">
        <v>244596.74234137914</v>
      </c>
      <c r="I911">
        <v>28.81515853423236</v>
      </c>
    </row>
    <row r="912" spans="1:9" x14ac:dyDescent="0.2">
      <c r="A912">
        <v>902</v>
      </c>
      <c r="B912">
        <v>1258225.7643417022</v>
      </c>
      <c r="C912">
        <v>132363.86846884241</v>
      </c>
      <c r="D912">
        <v>54619.59218837451</v>
      </c>
      <c r="E912">
        <v>125119.08678243465</v>
      </c>
      <c r="F912">
        <v>44662.090623399323</v>
      </c>
      <c r="G912">
        <v>10000</v>
      </c>
      <c r="H912">
        <v>346764.63806305086</v>
      </c>
      <c r="I912">
        <v>34.727140983721199</v>
      </c>
    </row>
    <row r="913" spans="1:9" x14ac:dyDescent="0.2">
      <c r="A913">
        <v>903</v>
      </c>
      <c r="B913">
        <v>1661815.4252023371</v>
      </c>
      <c r="C913">
        <v>104344.45864857787</v>
      </c>
      <c r="D913">
        <v>128251.98731046265</v>
      </c>
      <c r="E913">
        <v>185906.75757211383</v>
      </c>
      <c r="F913">
        <v>48870.467831915572</v>
      </c>
      <c r="G913">
        <v>10000</v>
      </c>
      <c r="H913">
        <v>457373.67136306991</v>
      </c>
      <c r="I913">
        <v>30.275095058149692</v>
      </c>
    </row>
    <row r="914" spans="1:9" x14ac:dyDescent="0.2">
      <c r="A914">
        <v>904</v>
      </c>
      <c r="B914">
        <v>1249900.2923711378</v>
      </c>
      <c r="C914">
        <v>89760.089671500842</v>
      </c>
      <c r="D914">
        <v>89902.002556997832</v>
      </c>
      <c r="E914">
        <v>129832.44139434316</v>
      </c>
      <c r="F914">
        <v>44988.399788839139</v>
      </c>
      <c r="G914">
        <v>10000</v>
      </c>
      <c r="H914">
        <v>344482.93341168098</v>
      </c>
      <c r="I914">
        <v>36.531554418107731</v>
      </c>
    </row>
    <row r="915" spans="1:9" x14ac:dyDescent="0.2">
      <c r="A915">
        <v>905</v>
      </c>
      <c r="B915">
        <v>1141589.4114691205</v>
      </c>
      <c r="C915">
        <v>137974.97323527336</v>
      </c>
      <c r="D915">
        <v>65102.535929285448</v>
      </c>
      <c r="E915">
        <v>80171.101511705478</v>
      </c>
      <c r="F915">
        <v>41550.307027733455</v>
      </c>
      <c r="G915">
        <v>10000</v>
      </c>
      <c r="H915">
        <v>314798.91770399775</v>
      </c>
      <c r="I915">
        <v>56.684267171859872</v>
      </c>
    </row>
    <row r="916" spans="1:9" x14ac:dyDescent="0.2">
      <c r="A916">
        <v>906</v>
      </c>
      <c r="B916">
        <v>1734647.0674465182</v>
      </c>
      <c r="C916">
        <v>139970.52082423947</v>
      </c>
      <c r="D916">
        <v>104051.19312411189</v>
      </c>
      <c r="E916">
        <v>193889.31648895028</v>
      </c>
      <c r="F916">
        <v>49423.106526158095</v>
      </c>
      <c r="G916">
        <v>10000</v>
      </c>
      <c r="H916">
        <v>477334.13696345972</v>
      </c>
      <c r="I916">
        <v>31.617126765491061</v>
      </c>
    </row>
    <row r="917" spans="1:9" x14ac:dyDescent="0.2">
      <c r="A917">
        <v>907</v>
      </c>
      <c r="B917">
        <v>1014839.011094512</v>
      </c>
      <c r="C917">
        <v>83083.692725275541</v>
      </c>
      <c r="D917">
        <v>65115.903921504811</v>
      </c>
      <c r="E917">
        <v>99007.357943386654</v>
      </c>
      <c r="F917">
        <v>42854.355549926768</v>
      </c>
      <c r="G917">
        <v>10000</v>
      </c>
      <c r="H917">
        <v>280061.31014009379</v>
      </c>
      <c r="I917">
        <v>29.378066588123925</v>
      </c>
    </row>
    <row r="918" spans="1:9" x14ac:dyDescent="0.2">
      <c r="A918">
        <v>908</v>
      </c>
      <c r="B918">
        <v>1452929.8913929474</v>
      </c>
      <c r="C918">
        <v>163521.90132250931</v>
      </c>
      <c r="D918">
        <v>72918.038896458864</v>
      </c>
      <c r="E918">
        <v>128770.99903220784</v>
      </c>
      <c r="F918">
        <v>44914.915317614388</v>
      </c>
      <c r="G918">
        <v>10000</v>
      </c>
      <c r="H918">
        <v>400125.85456879041</v>
      </c>
      <c r="I918">
        <v>43.029404861187246</v>
      </c>
    </row>
    <row r="919" spans="1:9" x14ac:dyDescent="0.2">
      <c r="A919">
        <v>909</v>
      </c>
      <c r="B919">
        <v>1240036.4129630069</v>
      </c>
      <c r="C919">
        <v>113449.33165186485</v>
      </c>
      <c r="D919">
        <v>141603.45565313628</v>
      </c>
      <c r="E919">
        <v>56794.868322650313</v>
      </c>
      <c r="F919">
        <v>39931.95242233733</v>
      </c>
      <c r="G919">
        <v>10000</v>
      </c>
      <c r="H919">
        <v>341779.60804998875</v>
      </c>
      <c r="I919">
        <v>39.815311125720363</v>
      </c>
    </row>
    <row r="920" spans="1:9" x14ac:dyDescent="0.2">
      <c r="A920">
        <v>910</v>
      </c>
      <c r="B920">
        <v>1339605.0399386724</v>
      </c>
      <c r="C920">
        <v>120273.46671447264</v>
      </c>
      <c r="D920">
        <v>107124.38519227537</v>
      </c>
      <c r="E920">
        <v>108180.42837303976</v>
      </c>
      <c r="F920">
        <v>43489.41427197968</v>
      </c>
      <c r="G920">
        <v>10000</v>
      </c>
      <c r="H920">
        <v>369067.69455176743</v>
      </c>
      <c r="I920">
        <v>36.914035591249288</v>
      </c>
    </row>
    <row r="921" spans="1:9" x14ac:dyDescent="0.2">
      <c r="A921">
        <v>911</v>
      </c>
      <c r="B921">
        <v>1330264.701422615</v>
      </c>
      <c r="C921">
        <v>111507.21151762571</v>
      </c>
      <c r="D921">
        <v>119809.68353149407</v>
      </c>
      <c r="E921">
        <v>102121.03927667638</v>
      </c>
      <c r="F921">
        <v>43069.918103769902</v>
      </c>
      <c r="G921">
        <v>10000</v>
      </c>
      <c r="H921">
        <v>366507.85242956603</v>
      </c>
      <c r="I921">
        <v>38.253573386564483</v>
      </c>
    </row>
    <row r="922" spans="1:9" x14ac:dyDescent="0.2">
      <c r="A922">
        <v>912</v>
      </c>
      <c r="B922">
        <v>1136571.7863570787</v>
      </c>
      <c r="C922">
        <v>144346.31525183917</v>
      </c>
      <c r="D922">
        <v>71389.302582993972</v>
      </c>
      <c r="E922">
        <v>67046.474945177746</v>
      </c>
      <c r="F922">
        <v>40641.679034666151</v>
      </c>
      <c r="G922">
        <v>10000</v>
      </c>
      <c r="H922">
        <v>313423.77181467705</v>
      </c>
      <c r="I922">
        <v>43.727004600847927</v>
      </c>
    </row>
    <row r="923" spans="1:9" x14ac:dyDescent="0.2">
      <c r="A923">
        <v>913</v>
      </c>
      <c r="B923">
        <v>1469964.5741784787</v>
      </c>
      <c r="C923">
        <v>146722.14815080323</v>
      </c>
      <c r="D923">
        <v>53800.857123642883</v>
      </c>
      <c r="E923">
        <v>166728.67297146234</v>
      </c>
      <c r="F923">
        <v>47542.754282639704</v>
      </c>
      <c r="G923">
        <v>10000</v>
      </c>
      <c r="H923">
        <v>404794.43252854818</v>
      </c>
      <c r="I923">
        <v>30.139520004365959</v>
      </c>
    </row>
    <row r="924" spans="1:9" x14ac:dyDescent="0.2">
      <c r="A924">
        <v>914</v>
      </c>
      <c r="B924">
        <v>1296842.1976150707</v>
      </c>
      <c r="C924">
        <v>131010.89944763233</v>
      </c>
      <c r="D924">
        <v>80743.861238415324</v>
      </c>
      <c r="E924">
        <v>111849.7710739919</v>
      </c>
      <c r="F924">
        <v>43743.445689737899</v>
      </c>
      <c r="G924">
        <v>10000</v>
      </c>
      <c r="H924">
        <v>357347.97744977748</v>
      </c>
      <c r="I924">
        <v>30.651427263763107</v>
      </c>
    </row>
    <row r="925" spans="1:9" x14ac:dyDescent="0.2">
      <c r="A925">
        <v>915</v>
      </c>
      <c r="B925">
        <v>1645166.8468733002</v>
      </c>
      <c r="C925">
        <v>92798.397321383309</v>
      </c>
      <c r="D925">
        <v>114297.11365981246</v>
      </c>
      <c r="E925">
        <v>205489.22246615152</v>
      </c>
      <c r="F925">
        <v>50226.176939964338</v>
      </c>
      <c r="G925">
        <v>10000</v>
      </c>
      <c r="H925">
        <v>452810.91038731165</v>
      </c>
      <c r="I925">
        <v>42.248769612916448</v>
      </c>
    </row>
    <row r="926" spans="1:9" x14ac:dyDescent="0.2">
      <c r="A926">
        <v>916</v>
      </c>
      <c r="B926">
        <v>904527.12710877554</v>
      </c>
      <c r="C926">
        <v>112147.61875691541</v>
      </c>
      <c r="D926">
        <v>62722.681283693513</v>
      </c>
      <c r="E926">
        <v>45788.612424795007</v>
      </c>
      <c r="F926">
        <v>39169.980860178111</v>
      </c>
      <c r="G926">
        <v>10000</v>
      </c>
      <c r="H926">
        <v>249828.89332558203</v>
      </c>
      <c r="I926">
        <v>34.547309347680994</v>
      </c>
    </row>
    <row r="927" spans="1:9" x14ac:dyDescent="0.2">
      <c r="A927">
        <v>917</v>
      </c>
      <c r="B927">
        <v>1705327.2216778363</v>
      </c>
      <c r="C927">
        <v>127215.67157495445</v>
      </c>
      <c r="D927">
        <v>177718.9222967884</v>
      </c>
      <c r="E927">
        <v>129405.23156564274</v>
      </c>
      <c r="F927">
        <v>44958.823723775269</v>
      </c>
      <c r="G927">
        <v>10000</v>
      </c>
      <c r="H927">
        <v>469298.64916116087</v>
      </c>
      <c r="I927">
        <v>26.011166335674538</v>
      </c>
    </row>
    <row r="928" spans="1:9" x14ac:dyDescent="0.2">
      <c r="A928">
        <v>918</v>
      </c>
      <c r="B928">
        <v>1220239.6285186231</v>
      </c>
      <c r="C928">
        <v>170409.0787005942</v>
      </c>
      <c r="D928">
        <v>41882.42508688668</v>
      </c>
      <c r="E928">
        <v>91713.16331655682</v>
      </c>
      <c r="F928">
        <v>42349.372844992395</v>
      </c>
      <c r="G928">
        <v>10000</v>
      </c>
      <c r="H928">
        <v>336354.03994903009</v>
      </c>
      <c r="I928">
        <v>29.885265199918855</v>
      </c>
    </row>
    <row r="929" spans="1:9" x14ac:dyDescent="0.2">
      <c r="A929">
        <v>919</v>
      </c>
      <c r="B929">
        <v>873219.17453423538</v>
      </c>
      <c r="C929">
        <v>88843.38454155426</v>
      </c>
      <c r="D929">
        <v>83833.979029809969</v>
      </c>
      <c r="E929">
        <v>39814.768209109025</v>
      </c>
      <c r="F929">
        <v>38756.407029861395</v>
      </c>
      <c r="G929">
        <v>10000</v>
      </c>
      <c r="H929">
        <v>241248.53881033463</v>
      </c>
      <c r="I929">
        <v>34.524498272519665</v>
      </c>
    </row>
    <row r="930" spans="1:9" x14ac:dyDescent="0.2">
      <c r="A930">
        <v>920</v>
      </c>
      <c r="B930">
        <v>1321719.4602512496</v>
      </c>
      <c r="C930">
        <v>101852.84024276353</v>
      </c>
      <c r="D930">
        <v>77777.641988352625</v>
      </c>
      <c r="E930">
        <v>148270.55064346164</v>
      </c>
      <c r="F930">
        <v>46264.884275316566</v>
      </c>
      <c r="G930">
        <v>10000</v>
      </c>
      <c r="H930">
        <v>364165.91714989435</v>
      </c>
      <c r="I930">
        <v>38.252996952963997</v>
      </c>
    </row>
    <row r="931" spans="1:9" x14ac:dyDescent="0.2">
      <c r="A931">
        <v>921</v>
      </c>
      <c r="B931">
        <v>1037983.6807630584</v>
      </c>
      <c r="C931">
        <v>97135.04433265602</v>
      </c>
      <c r="D931">
        <v>61486.003802349907</v>
      </c>
      <c r="E931">
        <v>95193.072286817216</v>
      </c>
      <c r="F931">
        <v>42590.28961985658</v>
      </c>
      <c r="G931">
        <v>10000</v>
      </c>
      <c r="H931">
        <v>286404.41004167974</v>
      </c>
      <c r="I931">
        <v>30.049400841571902</v>
      </c>
    </row>
    <row r="932" spans="1:9" x14ac:dyDescent="0.2">
      <c r="A932">
        <v>922</v>
      </c>
      <c r="B932">
        <v>926254.43569370906</v>
      </c>
      <c r="C932">
        <v>118822.07894547483</v>
      </c>
      <c r="D932">
        <v>69640.030102748031</v>
      </c>
      <c r="E932">
        <v>38645.9490286402</v>
      </c>
      <c r="F932">
        <v>38675.488778905863</v>
      </c>
      <c r="G932">
        <v>10000</v>
      </c>
      <c r="H932">
        <v>255783.54685576895</v>
      </c>
      <c r="I932">
        <v>33.486435170877101</v>
      </c>
    </row>
    <row r="933" spans="1:9" x14ac:dyDescent="0.2">
      <c r="A933">
        <v>923</v>
      </c>
      <c r="B933">
        <v>917940.23054489563</v>
      </c>
      <c r="C933">
        <v>114331.90334876609</v>
      </c>
      <c r="D933">
        <v>71514.353218812015</v>
      </c>
      <c r="E933">
        <v>38961.34927624603</v>
      </c>
      <c r="F933">
        <v>38697.324180663185</v>
      </c>
      <c r="G933">
        <v>10000</v>
      </c>
      <c r="H933">
        <v>253504.93002448732</v>
      </c>
      <c r="I933">
        <v>27.097600550243694</v>
      </c>
    </row>
    <row r="934" spans="1:9" x14ac:dyDescent="0.2">
      <c r="A934">
        <v>924</v>
      </c>
      <c r="B934">
        <v>1153643.9654499618</v>
      </c>
      <c r="C934">
        <v>105667.94430629739</v>
      </c>
      <c r="D934">
        <v>113855.60322132897</v>
      </c>
      <c r="E934">
        <v>67879.713799509103</v>
      </c>
      <c r="F934">
        <v>40699.364801504475</v>
      </c>
      <c r="G934">
        <v>10000</v>
      </c>
      <c r="H934">
        <v>318102.62612863997</v>
      </c>
      <c r="I934">
        <v>31.497150505076768</v>
      </c>
    </row>
    <row r="935" spans="1:9" x14ac:dyDescent="0.2">
      <c r="A935">
        <v>925</v>
      </c>
      <c r="B935">
        <v>1166524.8810909069</v>
      </c>
      <c r="C935">
        <v>145399.91975379354</v>
      </c>
      <c r="D935">
        <v>114744.22412955634</v>
      </c>
      <c r="E935">
        <v>33190.838618657122</v>
      </c>
      <c r="F935">
        <v>38297.827288983957</v>
      </c>
      <c r="G935">
        <v>10000</v>
      </c>
      <c r="H935">
        <v>321632.80979099101</v>
      </c>
      <c r="I935">
        <v>39.224000407721888</v>
      </c>
    </row>
    <row r="936" spans="1:9" x14ac:dyDescent="0.2">
      <c r="A936">
        <v>926</v>
      </c>
      <c r="B936">
        <v>1294479.3064861461</v>
      </c>
      <c r="C936">
        <v>113478.77052886847</v>
      </c>
      <c r="D936">
        <v>37668.697513504354</v>
      </c>
      <c r="E936">
        <v>167927.19898107968</v>
      </c>
      <c r="F936">
        <v>47625.729160228591</v>
      </c>
      <c r="G936">
        <v>10000</v>
      </c>
      <c r="H936">
        <v>356700.39618368103</v>
      </c>
      <c r="I936">
        <v>41.752080003172679</v>
      </c>
    </row>
    <row r="937" spans="1:9" x14ac:dyDescent="0.2">
      <c r="A937">
        <v>927</v>
      </c>
      <c r="B937">
        <v>1213246.3558044094</v>
      </c>
      <c r="C937">
        <v>127865.50209726105</v>
      </c>
      <c r="D937">
        <v>105395.59751507395</v>
      </c>
      <c r="E937">
        <v>70308.809384981141</v>
      </c>
      <c r="F937">
        <v>40867.532957421769</v>
      </c>
      <c r="G937">
        <v>10000</v>
      </c>
      <c r="H937">
        <v>334437.44195473794</v>
      </c>
      <c r="I937">
        <v>36.645014694827708</v>
      </c>
    </row>
    <row r="938" spans="1:9" x14ac:dyDescent="0.2">
      <c r="A938">
        <v>928</v>
      </c>
      <c r="B938">
        <v>1045022.1942301546</v>
      </c>
      <c r="C938">
        <v>103197.57844635189</v>
      </c>
      <c r="D938">
        <v>85284.691328586196</v>
      </c>
      <c r="E938">
        <v>69069.408781711099</v>
      </c>
      <c r="F938">
        <v>40781.728300272305</v>
      </c>
      <c r="G938">
        <v>10000</v>
      </c>
      <c r="H938">
        <v>288333.4068569215</v>
      </c>
      <c r="I938">
        <v>30.821136483751808</v>
      </c>
    </row>
    <row r="939" spans="1:9" x14ac:dyDescent="0.2">
      <c r="A939">
        <v>929</v>
      </c>
      <c r="B939">
        <v>1347275.1547787611</v>
      </c>
      <c r="C939">
        <v>73709.643186985923</v>
      </c>
      <c r="D939">
        <v>64933.252678246768</v>
      </c>
      <c r="E939">
        <v>193154.64918780833</v>
      </c>
      <c r="F939">
        <v>49372.244943771344</v>
      </c>
      <c r="G939">
        <v>10000</v>
      </c>
      <c r="H939">
        <v>371169.78999681235</v>
      </c>
      <c r="I939">
        <v>40.298518480763178</v>
      </c>
    </row>
    <row r="940" spans="1:9" x14ac:dyDescent="0.2">
      <c r="A940">
        <v>930</v>
      </c>
      <c r="B940">
        <v>951124.39168174623</v>
      </c>
      <c r="C940">
        <v>108426.42684096887</v>
      </c>
      <c r="D940">
        <v>40046.737868360047</v>
      </c>
      <c r="E940">
        <v>82420.298685682166</v>
      </c>
      <c r="F940">
        <v>41706.020678239533</v>
      </c>
      <c r="G940">
        <v>10000</v>
      </c>
      <c r="H940">
        <v>262599.48407325061</v>
      </c>
      <c r="I940">
        <v>46.488243310640307</v>
      </c>
    </row>
    <row r="941" spans="1:9" x14ac:dyDescent="0.2">
      <c r="A941">
        <v>931</v>
      </c>
      <c r="B941">
        <v>1311816.2102515639</v>
      </c>
      <c r="C941">
        <v>104632.36956463329</v>
      </c>
      <c r="D941">
        <v>82539.577573927294</v>
      </c>
      <c r="E941">
        <v>138679.00072682629</v>
      </c>
      <c r="F941">
        <v>45600.853896472581</v>
      </c>
      <c r="G941">
        <v>10000</v>
      </c>
      <c r="H941">
        <v>361451.80176185945</v>
      </c>
      <c r="I941">
        <v>36.965289782769503</v>
      </c>
    </row>
    <row r="942" spans="1:9" x14ac:dyDescent="0.2">
      <c r="A942">
        <v>932</v>
      </c>
      <c r="B942">
        <v>998755.13368701539</v>
      </c>
      <c r="C942">
        <v>107947.8499425835</v>
      </c>
      <c r="D942">
        <v>52512.322065610802</v>
      </c>
      <c r="E942">
        <v>83418.045390746338</v>
      </c>
      <c r="F942">
        <v>41775.095450128596</v>
      </c>
      <c r="G942">
        <v>10000</v>
      </c>
      <c r="H942">
        <v>275653.31284906925</v>
      </c>
      <c r="I942">
        <v>40.466198712942699</v>
      </c>
    </row>
    <row r="943" spans="1:9" x14ac:dyDescent="0.2">
      <c r="A943">
        <v>933</v>
      </c>
      <c r="B943">
        <v>1521817.2586703848</v>
      </c>
      <c r="C943">
        <v>103371.87963759468</v>
      </c>
      <c r="D943">
        <v>109475.02870295526</v>
      </c>
      <c r="E943">
        <v>168493.49718618006</v>
      </c>
      <c r="F943">
        <v>47664.934420581696</v>
      </c>
      <c r="G943">
        <v>10000</v>
      </c>
      <c r="H943">
        <v>419005.33994731167</v>
      </c>
      <c r="I943">
        <v>40.306392349226854</v>
      </c>
    </row>
    <row r="944" spans="1:9" x14ac:dyDescent="0.2">
      <c r="A944">
        <v>934</v>
      </c>
      <c r="B944">
        <v>922465.85811299353</v>
      </c>
      <c r="C944">
        <v>112069.53749827611</v>
      </c>
      <c r="D944">
        <v>80852.228149925213</v>
      </c>
      <c r="E944">
        <v>33503.9665194435</v>
      </c>
      <c r="F944">
        <v>38319.50537442301</v>
      </c>
      <c r="G944">
        <v>10000</v>
      </c>
      <c r="H944">
        <v>254745.23754206783</v>
      </c>
      <c r="I944">
        <v>43.068058066414252</v>
      </c>
    </row>
    <row r="945" spans="1:9" x14ac:dyDescent="0.2">
      <c r="A945">
        <v>935</v>
      </c>
      <c r="B945">
        <v>1130666.7255126641</v>
      </c>
      <c r="C945">
        <v>98395.567798317148</v>
      </c>
      <c r="D945">
        <v>128981.79560255447</v>
      </c>
      <c r="E945">
        <v>54644.938042025788</v>
      </c>
      <c r="F945">
        <v>39783.111095217173</v>
      </c>
      <c r="G945">
        <v>10000</v>
      </c>
      <c r="H945">
        <v>311805.41253811459</v>
      </c>
      <c r="I945">
        <v>35.508592134950042</v>
      </c>
    </row>
    <row r="946" spans="1:9" x14ac:dyDescent="0.2">
      <c r="A946">
        <v>936</v>
      </c>
      <c r="B946">
        <v>1533313.1390478874</v>
      </c>
      <c r="C946">
        <v>139476.10739458565</v>
      </c>
      <c r="D946">
        <v>136593.17948386632</v>
      </c>
      <c r="E946">
        <v>112311.25509104857</v>
      </c>
      <c r="F946">
        <v>43775.394583226436</v>
      </c>
      <c r="G946">
        <v>10000</v>
      </c>
      <c r="H946">
        <v>422155.9365527269</v>
      </c>
      <c r="I946">
        <v>33.23456490467678</v>
      </c>
    </row>
    <row r="947" spans="1:9" x14ac:dyDescent="0.2">
      <c r="A947">
        <v>937</v>
      </c>
      <c r="B947">
        <v>1009520.2267539583</v>
      </c>
      <c r="C947">
        <v>100583.79694160672</v>
      </c>
      <c r="D947">
        <v>41274.139005210993</v>
      </c>
      <c r="E947">
        <v>103575.10731951756</v>
      </c>
      <c r="F947">
        <v>43170.58435288968</v>
      </c>
      <c r="G947">
        <v>10000</v>
      </c>
      <c r="H947">
        <v>278603.62761922495</v>
      </c>
      <c r="I947">
        <v>26.942726452675259</v>
      </c>
    </row>
    <row r="948" spans="1:9" x14ac:dyDescent="0.2">
      <c r="A948">
        <v>938</v>
      </c>
      <c r="B948">
        <v>1504807.051089922</v>
      </c>
      <c r="C948">
        <v>86111.106344924192</v>
      </c>
      <c r="D948">
        <v>147243.10561352308</v>
      </c>
      <c r="E948">
        <v>144953.98209608826</v>
      </c>
      <c r="F948">
        <v>46035.275683575339</v>
      </c>
      <c r="G948">
        <v>10000</v>
      </c>
      <c r="H948">
        <v>414343.4697381109</v>
      </c>
      <c r="I948">
        <v>47.805358018758547</v>
      </c>
    </row>
    <row r="949" spans="1:9" x14ac:dyDescent="0.2">
      <c r="A949">
        <v>939</v>
      </c>
      <c r="B949">
        <v>1152703.7237867967</v>
      </c>
      <c r="C949">
        <v>100578.9157566121</v>
      </c>
      <c r="D949">
        <v>66882.951777170063</v>
      </c>
      <c r="E949">
        <v>116329.49278110098</v>
      </c>
      <c r="F949">
        <v>44053.580269460836</v>
      </c>
      <c r="G949">
        <v>10000</v>
      </c>
      <c r="H949">
        <v>317844.94058434397</v>
      </c>
      <c r="I949">
        <v>33.47251229601239</v>
      </c>
    </row>
    <row r="950" spans="1:9" x14ac:dyDescent="0.2">
      <c r="A950">
        <v>940</v>
      </c>
      <c r="B950">
        <v>1056937.0007202791</v>
      </c>
      <c r="C950">
        <v>102298.37537754008</v>
      </c>
      <c r="D950">
        <v>118533.22873918024</v>
      </c>
      <c r="E950">
        <v>41868.615104132339</v>
      </c>
      <c r="F950">
        <v>38898.596430286088</v>
      </c>
      <c r="G950">
        <v>10000</v>
      </c>
      <c r="H950">
        <v>291598.81565113872</v>
      </c>
      <c r="I950">
        <v>26.866716189847132</v>
      </c>
    </row>
    <row r="951" spans="1:9" x14ac:dyDescent="0.2">
      <c r="A951">
        <v>941</v>
      </c>
      <c r="B951">
        <v>1082142.0562156281</v>
      </c>
      <c r="C951">
        <v>158269.77393978206</v>
      </c>
      <c r="D951">
        <v>54839.71120601357</v>
      </c>
      <c r="E951">
        <v>55551.25033962835</v>
      </c>
      <c r="F951">
        <v>39845.855792743503</v>
      </c>
      <c r="G951">
        <v>10000</v>
      </c>
      <c r="H951">
        <v>298506.5912781675</v>
      </c>
      <c r="I951">
        <v>30.115953046278314</v>
      </c>
    </row>
    <row r="952" spans="1:9" x14ac:dyDescent="0.2">
      <c r="A952">
        <v>942</v>
      </c>
      <c r="B952">
        <v>911830.11940457532</v>
      </c>
      <c r="C952">
        <v>126249.66162338723</v>
      </c>
      <c r="D952">
        <v>69657.825473022676</v>
      </c>
      <c r="E952">
        <v>27985.433821208117</v>
      </c>
      <c r="F952">
        <v>37937.453110699018</v>
      </c>
      <c r="G952">
        <v>10000</v>
      </c>
      <c r="H952">
        <v>251830.37402831702</v>
      </c>
      <c r="I952">
        <v>30.107412681579859</v>
      </c>
    </row>
    <row r="953" spans="1:9" x14ac:dyDescent="0.2">
      <c r="A953">
        <v>943</v>
      </c>
      <c r="B953">
        <v>1264463.3871787365</v>
      </c>
      <c r="C953">
        <v>149321.9958091703</v>
      </c>
      <c r="D953">
        <v>83223.421438677149</v>
      </c>
      <c r="E953">
        <v>84105.99998620394</v>
      </c>
      <c r="F953">
        <v>41822.723075967959</v>
      </c>
      <c r="G953">
        <v>10000</v>
      </c>
      <c r="H953">
        <v>348474.14031001937</v>
      </c>
      <c r="I953">
        <v>40.289291433257418</v>
      </c>
    </row>
    <row r="954" spans="1:9" x14ac:dyDescent="0.2">
      <c r="A954">
        <v>944</v>
      </c>
      <c r="B954">
        <v>1220852.1296047026</v>
      </c>
      <c r="C954">
        <v>102570.88959398803</v>
      </c>
      <c r="D954">
        <v>83110.220366747308</v>
      </c>
      <c r="E954">
        <v>116757.57706082716</v>
      </c>
      <c r="F954">
        <v>44083.216873441881</v>
      </c>
      <c r="G954">
        <v>10000</v>
      </c>
      <c r="H954">
        <v>336521.90389500436</v>
      </c>
      <c r="I954">
        <v>40.224839728024683</v>
      </c>
    </row>
    <row r="955" spans="1:9" x14ac:dyDescent="0.2">
      <c r="A955">
        <v>945</v>
      </c>
      <c r="B955">
        <v>1266227.2382778018</v>
      </c>
      <c r="C955">
        <v>121005.01591620766</v>
      </c>
      <c r="D955">
        <v>53199.952691838713</v>
      </c>
      <c r="E955">
        <v>139121.11630298375</v>
      </c>
      <c r="F955">
        <v>45631.461897898873</v>
      </c>
      <c r="G955">
        <v>10000</v>
      </c>
      <c r="H955">
        <v>348957.54680892901</v>
      </c>
      <c r="I955">
        <v>28.205255457940211</v>
      </c>
    </row>
    <row r="956" spans="1:9" x14ac:dyDescent="0.2">
      <c r="A956">
        <v>946</v>
      </c>
      <c r="B956">
        <v>1738187.7640050445</v>
      </c>
      <c r="C956">
        <v>137972.5752705223</v>
      </c>
      <c r="D956">
        <v>105688.53977986491</v>
      </c>
      <c r="E956">
        <v>195134.11154046617</v>
      </c>
      <c r="F956">
        <v>49509.28464510919</v>
      </c>
      <c r="G956">
        <v>10000</v>
      </c>
      <c r="H956">
        <v>478304.51123596262</v>
      </c>
      <c r="I956">
        <v>29.739990778518361</v>
      </c>
    </row>
    <row r="957" spans="1:9" x14ac:dyDescent="0.2">
      <c r="A957">
        <v>947</v>
      </c>
      <c r="B957">
        <v>1477491.1602360806</v>
      </c>
      <c r="C957">
        <v>119949.08102790103</v>
      </c>
      <c r="D957">
        <v>60055.406922274102</v>
      </c>
      <c r="E957">
        <v>187847.85273711264</v>
      </c>
      <c r="F957">
        <v>49004.851343338567</v>
      </c>
      <c r="G957">
        <v>10000</v>
      </c>
      <c r="H957">
        <v>406857.19203062629</v>
      </c>
      <c r="I957">
        <v>28.592476350724482</v>
      </c>
    </row>
    <row r="958" spans="1:9" x14ac:dyDescent="0.2">
      <c r="A958">
        <v>948</v>
      </c>
      <c r="B958">
        <v>1196067.476667129</v>
      </c>
      <c r="C958">
        <v>89209.432354461052</v>
      </c>
      <c r="D958">
        <v>84960.299822036395</v>
      </c>
      <c r="E958">
        <v>121170.86100376924</v>
      </c>
      <c r="F958">
        <v>44388.75191564556</v>
      </c>
      <c r="G958">
        <v>10000</v>
      </c>
      <c r="H958">
        <v>329729.34509591223</v>
      </c>
      <c r="I958">
        <v>41.099159781724623</v>
      </c>
    </row>
    <row r="959" spans="1:9" x14ac:dyDescent="0.2">
      <c r="A959">
        <v>949</v>
      </c>
      <c r="B959">
        <v>1027494.0504178734</v>
      </c>
      <c r="C959">
        <v>108416.88239548342</v>
      </c>
      <c r="D959">
        <v>106450.12197554109</v>
      </c>
      <c r="E959">
        <v>39900.259415895751</v>
      </c>
      <c r="F959">
        <v>38762.325651869709</v>
      </c>
      <c r="G959">
        <v>10000</v>
      </c>
      <c r="H959">
        <v>283529.58943878993</v>
      </c>
      <c r="I959">
        <v>31.818877687669627</v>
      </c>
    </row>
    <row r="960" spans="1:9" x14ac:dyDescent="0.2">
      <c r="A960">
        <v>950</v>
      </c>
      <c r="B960">
        <v>1187355.4450345049</v>
      </c>
      <c r="C960">
        <v>112218.11044401657</v>
      </c>
      <c r="D960">
        <v>90287.69658542762</v>
      </c>
      <c r="E960">
        <v>92436.445452421365</v>
      </c>
      <c r="F960">
        <v>42399.446223629173</v>
      </c>
      <c r="G960">
        <v>10000</v>
      </c>
      <c r="H960">
        <v>327341.69870549475</v>
      </c>
      <c r="I960">
        <v>30.140275977193646</v>
      </c>
    </row>
    <row r="961" spans="1:9" x14ac:dyDescent="0.2">
      <c r="A961">
        <v>951</v>
      </c>
      <c r="B961">
        <v>1255756.0629593804</v>
      </c>
      <c r="C961">
        <v>139040.63806265398</v>
      </c>
      <c r="D961">
        <v>67383.769115791569</v>
      </c>
      <c r="E961">
        <v>106303.87764766476</v>
      </c>
      <c r="F961">
        <v>43359.499221761413</v>
      </c>
      <c r="G961">
        <v>10000</v>
      </c>
      <c r="H961">
        <v>346087.78404787171</v>
      </c>
      <c r="I961">
        <v>52.516920642772128</v>
      </c>
    </row>
    <row r="962" spans="1:9" x14ac:dyDescent="0.2">
      <c r="A962">
        <v>952</v>
      </c>
      <c r="B962">
        <v>1623074.0171828147</v>
      </c>
      <c r="C962">
        <v>137391.26326839507</v>
      </c>
      <c r="D962">
        <v>105972.61545006937</v>
      </c>
      <c r="E962">
        <v>165906.37624395557</v>
      </c>
      <c r="F962">
        <v>47485.826047658462</v>
      </c>
      <c r="G962">
        <v>10000</v>
      </c>
      <c r="H962">
        <v>446756.08101007843</v>
      </c>
      <c r="I962">
        <v>27.064660057484986</v>
      </c>
    </row>
    <row r="963" spans="1:9" x14ac:dyDescent="0.2">
      <c r="A963">
        <v>953</v>
      </c>
      <c r="B963">
        <v>1017667.7675174654</v>
      </c>
      <c r="C963">
        <v>89233.896165221013</v>
      </c>
      <c r="D963">
        <v>69396.929142759909</v>
      </c>
      <c r="E963">
        <v>89976.593784107899</v>
      </c>
      <c r="F963">
        <v>42229.148800438234</v>
      </c>
      <c r="G963">
        <v>10000</v>
      </c>
      <c r="H963">
        <v>280836.56789252703</v>
      </c>
      <c r="I963">
        <v>32.724213195563316</v>
      </c>
    </row>
    <row r="964" spans="1:9" x14ac:dyDescent="0.2">
      <c r="A964">
        <v>954</v>
      </c>
      <c r="B964">
        <v>1484070.2634894266</v>
      </c>
      <c r="C964">
        <v>123489.99708858032</v>
      </c>
      <c r="D964">
        <v>108861.59873172673</v>
      </c>
      <c r="E964">
        <v>140576.46858279934</v>
      </c>
      <c r="F964">
        <v>45732.217055732261</v>
      </c>
      <c r="G964">
        <v>10000</v>
      </c>
      <c r="H964">
        <v>408660.28145883861</v>
      </c>
      <c r="I964">
        <v>41.240705174197757</v>
      </c>
    </row>
    <row r="965" spans="1:9" x14ac:dyDescent="0.2">
      <c r="A965">
        <v>955</v>
      </c>
      <c r="B965">
        <v>1173734.5808492627</v>
      </c>
      <c r="C965">
        <v>75585.771550200297</v>
      </c>
      <c r="D965">
        <v>136859.52363848669</v>
      </c>
      <c r="E965">
        <v>79649.248519432673</v>
      </c>
      <c r="F965">
        <v>41514.178743653029</v>
      </c>
      <c r="G965">
        <v>10000</v>
      </c>
      <c r="H965">
        <v>323608.72245177266</v>
      </c>
      <c r="I965">
        <v>26.589812219106854</v>
      </c>
    </row>
    <row r="966" spans="1:9" x14ac:dyDescent="0.2">
      <c r="A966">
        <v>956</v>
      </c>
      <c r="B966">
        <v>1105697.9724529467</v>
      </c>
      <c r="C966">
        <v>116444.09983363804</v>
      </c>
      <c r="D966">
        <v>99397.797475404266</v>
      </c>
      <c r="E966">
        <v>59033.562441655908</v>
      </c>
      <c r="F966">
        <v>40086.938938268482</v>
      </c>
      <c r="G966">
        <v>10000</v>
      </c>
      <c r="H966">
        <v>304962.3986889667</v>
      </c>
      <c r="I966">
        <v>37.826556703480662</v>
      </c>
    </row>
    <row r="967" spans="1:9" x14ac:dyDescent="0.2">
      <c r="A967">
        <v>957</v>
      </c>
      <c r="B967">
        <v>1414071.5314601129</v>
      </c>
      <c r="C967">
        <v>110260.11602489176</v>
      </c>
      <c r="D967">
        <v>42651.938272202031</v>
      </c>
      <c r="E967">
        <v>196930.50721534976</v>
      </c>
      <c r="F967">
        <v>49633.650499524214</v>
      </c>
      <c r="G967">
        <v>10000</v>
      </c>
      <c r="H967">
        <v>389476.21201196779</v>
      </c>
      <c r="I967">
        <v>37.923648488414926</v>
      </c>
    </row>
    <row r="968" spans="1:9" x14ac:dyDescent="0.2">
      <c r="A968">
        <v>958</v>
      </c>
      <c r="B968">
        <v>1158256.9609733301</v>
      </c>
      <c r="C968">
        <v>111792.18560937561</v>
      </c>
      <c r="D968">
        <v>60662.052512743576</v>
      </c>
      <c r="E968">
        <v>113083.76389475721</v>
      </c>
      <c r="F968">
        <v>43828.87596194473</v>
      </c>
      <c r="G968">
        <v>10000</v>
      </c>
      <c r="H968">
        <v>319366.87797882117</v>
      </c>
      <c r="I968">
        <v>37.369653771378388</v>
      </c>
    </row>
    <row r="969" spans="1:9" x14ac:dyDescent="0.2">
      <c r="A969">
        <v>959</v>
      </c>
      <c r="B969">
        <v>1418635.9778693207</v>
      </c>
      <c r="C969">
        <v>87466.517638200792</v>
      </c>
      <c r="D969">
        <v>58220.27660602142</v>
      </c>
      <c r="E969">
        <v>204857.89447942545</v>
      </c>
      <c r="F969">
        <v>50182.469617806375</v>
      </c>
      <c r="G969">
        <v>10000</v>
      </c>
      <c r="H969">
        <v>390727.15834145405</v>
      </c>
      <c r="I969">
        <v>40.026083926563771</v>
      </c>
    </row>
    <row r="970" spans="1:9" x14ac:dyDescent="0.2">
      <c r="A970">
        <v>960</v>
      </c>
      <c r="B970">
        <v>1053455.2560775264</v>
      </c>
      <c r="C970">
        <v>95758.410893140506</v>
      </c>
      <c r="D970">
        <v>53420.298270836734</v>
      </c>
      <c r="E970">
        <v>107989.68013469545</v>
      </c>
      <c r="F970">
        <v>43476.208624709681</v>
      </c>
      <c r="G970">
        <v>10000</v>
      </c>
      <c r="H970">
        <v>290644.59792338236</v>
      </c>
      <c r="I970">
        <v>37.369439391338055</v>
      </c>
    </row>
    <row r="971" spans="1:9" x14ac:dyDescent="0.2">
      <c r="A971">
        <v>961</v>
      </c>
      <c r="B971">
        <v>1210789.586049133</v>
      </c>
      <c r="C971">
        <v>89688.907880118277</v>
      </c>
      <c r="D971">
        <v>58575.876323506804</v>
      </c>
      <c r="E971">
        <v>149172.05191585384</v>
      </c>
      <c r="F971">
        <v>46327.295901866804</v>
      </c>
      <c r="G971">
        <v>10000</v>
      </c>
      <c r="H971">
        <v>333764.13202134572</v>
      </c>
      <c r="I971">
        <v>37.01504727076977</v>
      </c>
    </row>
    <row r="972" spans="1:9" x14ac:dyDescent="0.2">
      <c r="A972">
        <v>962</v>
      </c>
      <c r="B972">
        <v>974607.19163130876</v>
      </c>
      <c r="C972">
        <v>117608.17711979515</v>
      </c>
      <c r="D972">
        <v>76085.538041350504</v>
      </c>
      <c r="E972">
        <v>46146.76201468661</v>
      </c>
      <c r="F972">
        <v>39194.775831785999</v>
      </c>
      <c r="G972">
        <v>10000</v>
      </c>
      <c r="H972">
        <v>269035.25300761824</v>
      </c>
      <c r="I972">
        <v>37.789076247483166</v>
      </c>
    </row>
    <row r="973" spans="1:9" x14ac:dyDescent="0.2">
      <c r="A973">
        <v>963</v>
      </c>
      <c r="B973">
        <v>1463680.5988016995</v>
      </c>
      <c r="C973">
        <v>115364.95976525133</v>
      </c>
      <c r="D973">
        <v>64874.95050802383</v>
      </c>
      <c r="E973">
        <v>184087.77800998723</v>
      </c>
      <c r="F973">
        <v>48744.5384776145</v>
      </c>
      <c r="G973">
        <v>10000</v>
      </c>
      <c r="H973">
        <v>403072.22676087695</v>
      </c>
      <c r="I973">
        <v>39.40237309208208</v>
      </c>
    </row>
    <row r="974" spans="1:9" x14ac:dyDescent="0.2">
      <c r="A974">
        <v>964</v>
      </c>
      <c r="B974">
        <v>1522583.8769627118</v>
      </c>
      <c r="C974">
        <v>108768.81923618595</v>
      </c>
      <c r="D974">
        <v>106542.02656877512</v>
      </c>
      <c r="E974">
        <v>166385.59331351178</v>
      </c>
      <c r="F974">
        <v>47519.002614012352</v>
      </c>
      <c r="G974">
        <v>10000</v>
      </c>
      <c r="H974">
        <v>419215.4417324852</v>
      </c>
      <c r="I974">
        <v>27.858242570769619</v>
      </c>
    </row>
    <row r="975" spans="1:9" x14ac:dyDescent="0.2">
      <c r="A975">
        <v>965</v>
      </c>
      <c r="B975">
        <v>862217.82979205553</v>
      </c>
      <c r="C975">
        <v>115192.32822344906</v>
      </c>
      <c r="D975">
        <v>51479.048271761727</v>
      </c>
      <c r="E975">
        <v>42612.035670668905</v>
      </c>
      <c r="F975">
        <v>38950.064007969384</v>
      </c>
      <c r="G975">
        <v>10000</v>
      </c>
      <c r="H975">
        <v>238233.47617384908</v>
      </c>
      <c r="I975">
        <v>32.535590755721181</v>
      </c>
    </row>
    <row r="976" spans="1:9" x14ac:dyDescent="0.2">
      <c r="A976">
        <v>966</v>
      </c>
      <c r="B976">
        <v>1376872.3640242233</v>
      </c>
      <c r="C976">
        <v>97053.494036035874</v>
      </c>
      <c r="D976">
        <v>103821.95577688329</v>
      </c>
      <c r="E976">
        <v>142537.8388520515</v>
      </c>
      <c r="F976">
        <v>45868.004228218953</v>
      </c>
      <c r="G976">
        <v>10000</v>
      </c>
      <c r="H976">
        <v>379281.29289318959</v>
      </c>
      <c r="I976">
        <v>33.220183842658102</v>
      </c>
    </row>
    <row r="977" spans="1:9" x14ac:dyDescent="0.2">
      <c r="A977">
        <v>967</v>
      </c>
      <c r="B977">
        <v>1758732.1835703091</v>
      </c>
      <c r="C977">
        <v>117020.04282803668</v>
      </c>
      <c r="D977">
        <v>139583.79288056071</v>
      </c>
      <c r="E977">
        <v>188295.31343503969</v>
      </c>
      <c r="F977">
        <v>49035.829391656596</v>
      </c>
      <c r="G977">
        <v>10000</v>
      </c>
      <c r="H977">
        <v>483934.97853529366</v>
      </c>
      <c r="I977">
        <v>39.324913477826001</v>
      </c>
    </row>
    <row r="978" spans="1:9" x14ac:dyDescent="0.2">
      <c r="A978">
        <v>968</v>
      </c>
      <c r="B978">
        <v>1027526.7223544278</v>
      </c>
      <c r="C978">
        <v>92728.554267093597</v>
      </c>
      <c r="D978">
        <v>32292.042114609441</v>
      </c>
      <c r="E978">
        <v>123937.64848781496</v>
      </c>
      <c r="F978">
        <v>44580.29874146411</v>
      </c>
      <c r="G978">
        <v>10000</v>
      </c>
      <c r="H978">
        <v>283538.54361098213</v>
      </c>
      <c r="I978">
        <v>35.046806527085188</v>
      </c>
    </row>
    <row r="979" spans="1:9" x14ac:dyDescent="0.2">
      <c r="A979">
        <v>969</v>
      </c>
      <c r="B979">
        <v>1071587.2418522078</v>
      </c>
      <c r="C979">
        <v>139715.3923493624</v>
      </c>
      <c r="D979">
        <v>48536.437025073799</v>
      </c>
      <c r="E979">
        <v>76094.028630800778</v>
      </c>
      <c r="F979">
        <v>41268.048135978512</v>
      </c>
      <c r="G979">
        <v>10000</v>
      </c>
      <c r="H979">
        <v>295613.90614121547</v>
      </c>
      <c r="I979">
        <v>41.829370156688739</v>
      </c>
    </row>
    <row r="980" spans="1:9" x14ac:dyDescent="0.2">
      <c r="A980">
        <v>970</v>
      </c>
      <c r="B980">
        <v>1765418.028054859</v>
      </c>
      <c r="C980">
        <v>167706.70804529963</v>
      </c>
      <c r="D980">
        <v>135685.11955815708</v>
      </c>
      <c r="E980">
        <v>146250.46219460774</v>
      </c>
      <c r="F980">
        <v>46125.031998088227</v>
      </c>
      <c r="G980">
        <v>10000</v>
      </c>
      <c r="H980">
        <v>485767.32179615262</v>
      </c>
      <c r="I980">
        <v>41.467170150147197</v>
      </c>
    </row>
    <row r="981" spans="1:9" x14ac:dyDescent="0.2">
      <c r="A981">
        <v>971</v>
      </c>
      <c r="B981">
        <v>1402004.4157451792</v>
      </c>
      <c r="C981">
        <v>81720.638770861566</v>
      </c>
      <c r="D981">
        <v>104891.37398523782</v>
      </c>
      <c r="E981">
        <v>162319.5414104193</v>
      </c>
      <c r="F981">
        <v>47237.506713029026</v>
      </c>
      <c r="G981">
        <v>10000</v>
      </c>
      <c r="H981">
        <v>386169.06087954773</v>
      </c>
      <c r="I981">
        <v>29.897630078773215</v>
      </c>
    </row>
    <row r="982" spans="1:9" x14ac:dyDescent="0.2">
      <c r="A982">
        <v>972</v>
      </c>
      <c r="B982">
        <v>1528638.0757387932</v>
      </c>
      <c r="C982">
        <v>114221.95403321261</v>
      </c>
      <c r="D982">
        <v>79069.074786041674</v>
      </c>
      <c r="E982">
        <v>188531.46691484854</v>
      </c>
      <c r="F982">
        <v>49052.178478720285</v>
      </c>
      <c r="G982">
        <v>10000</v>
      </c>
      <c r="H982">
        <v>420874.6742128231</v>
      </c>
      <c r="I982">
        <v>36.025953564954193</v>
      </c>
    </row>
    <row r="983" spans="1:9" x14ac:dyDescent="0.2">
      <c r="A983">
        <v>973</v>
      </c>
      <c r="B983">
        <v>1389752.6749608556</v>
      </c>
      <c r="C983">
        <v>142926.90698258588</v>
      </c>
      <c r="D983">
        <v>95693.677808906534</v>
      </c>
      <c r="E983">
        <v>110538.0890992685</v>
      </c>
      <c r="F983">
        <v>43652.636937641662</v>
      </c>
      <c r="G983">
        <v>10000</v>
      </c>
      <c r="H983">
        <v>382811.31082840258</v>
      </c>
      <c r="I983">
        <v>38.660726590028638</v>
      </c>
    </row>
    <row r="984" spans="1:9" x14ac:dyDescent="0.2">
      <c r="A984">
        <v>974</v>
      </c>
      <c r="B984">
        <v>1546001.8761084555</v>
      </c>
      <c r="C984">
        <v>126546.82931014968</v>
      </c>
      <c r="D984">
        <v>90290.063613970997</v>
      </c>
      <c r="E984">
        <v>170960.80985876315</v>
      </c>
      <c r="F984">
        <v>47835.748374837451</v>
      </c>
      <c r="G984">
        <v>10000</v>
      </c>
      <c r="H984">
        <v>425633.45115772128</v>
      </c>
      <c r="I984">
        <v>51.946161935296523</v>
      </c>
    </row>
    <row r="985" spans="1:9" x14ac:dyDescent="0.2">
      <c r="A985">
        <v>975</v>
      </c>
      <c r="B985">
        <v>1311824.0217692512</v>
      </c>
      <c r="C985">
        <v>153001.19339019267</v>
      </c>
      <c r="D985">
        <v>77224.138784173017</v>
      </c>
      <c r="E985">
        <v>98415.247170585397</v>
      </c>
      <c r="F985">
        <v>42813.363265655913</v>
      </c>
      <c r="G985">
        <v>10000</v>
      </c>
      <c r="H985">
        <v>361453.94261060702</v>
      </c>
      <c r="I985">
        <v>25.817433437901386</v>
      </c>
    </row>
    <row r="986" spans="1:9" x14ac:dyDescent="0.2">
      <c r="A986">
        <v>976</v>
      </c>
      <c r="B986">
        <v>923549.64651830576</v>
      </c>
      <c r="C986">
        <v>98426.170354582267</v>
      </c>
      <c r="D986">
        <v>94024.313625078896</v>
      </c>
      <c r="E986">
        <v>34222.528031132686</v>
      </c>
      <c r="F986">
        <v>38369.251940616879</v>
      </c>
      <c r="G986">
        <v>10000</v>
      </c>
      <c r="H986">
        <v>255042.26395141071</v>
      </c>
      <c r="I986">
        <v>45.606372315394296</v>
      </c>
    </row>
    <row r="987" spans="1:9" x14ac:dyDescent="0.2">
      <c r="A987">
        <v>977</v>
      </c>
      <c r="B987">
        <v>1362153.1600258532</v>
      </c>
      <c r="C987">
        <v>103206.44067801334</v>
      </c>
      <c r="D987">
        <v>110758.58268998575</v>
      </c>
      <c r="E987">
        <v>126522.9946155831</v>
      </c>
      <c r="F987">
        <v>44759.284242617287</v>
      </c>
      <c r="G987">
        <v>10000</v>
      </c>
      <c r="H987">
        <v>375247.30222619954</v>
      </c>
      <c r="I987">
        <v>27.511600248893792</v>
      </c>
    </row>
    <row r="988" spans="1:9" x14ac:dyDescent="0.2">
      <c r="A988">
        <v>978</v>
      </c>
      <c r="B988">
        <v>1193838.539497118</v>
      </c>
      <c r="C988">
        <v>135961.80254892106</v>
      </c>
      <c r="D988">
        <v>107086.36620702255</v>
      </c>
      <c r="E988">
        <v>56180.862578647524</v>
      </c>
      <c r="F988">
        <v>39889.444332367901</v>
      </c>
      <c r="G988">
        <v>10000</v>
      </c>
      <c r="H988">
        <v>329118.47566695901</v>
      </c>
      <c r="I988">
        <v>52.098255763554057</v>
      </c>
    </row>
    <row r="989" spans="1:9" x14ac:dyDescent="0.2">
      <c r="A989">
        <v>979</v>
      </c>
      <c r="B989">
        <v>1216274.659608539</v>
      </c>
      <c r="C989">
        <v>82114.387715389908</v>
      </c>
      <c r="D989">
        <v>162592.60458292061</v>
      </c>
      <c r="E989">
        <v>60380.22645854907</v>
      </c>
      <c r="F989">
        <v>40180.169524053403</v>
      </c>
      <c r="G989">
        <v>10000</v>
      </c>
      <c r="H989">
        <v>335267.388280913</v>
      </c>
      <c r="I989">
        <v>28.296925108462808</v>
      </c>
    </row>
    <row r="990" spans="1:9" x14ac:dyDescent="0.2">
      <c r="A990">
        <v>980</v>
      </c>
      <c r="B990">
        <v>1204404.9424664816</v>
      </c>
      <c r="C990">
        <v>128154.39830474691</v>
      </c>
      <c r="D990">
        <v>47005.974449340938</v>
      </c>
      <c r="E990">
        <v>122381.40523511503</v>
      </c>
      <c r="F990">
        <v>44472.558823969499</v>
      </c>
      <c r="G990">
        <v>10000</v>
      </c>
      <c r="H990">
        <v>332014.33681317238</v>
      </c>
      <c r="I990">
        <v>29.958629164500024</v>
      </c>
    </row>
    <row r="991" spans="1:9" x14ac:dyDescent="0.2">
      <c r="A991">
        <v>981</v>
      </c>
      <c r="B991">
        <v>837145.91581762955</v>
      </c>
      <c r="C991">
        <v>132385.29781776093</v>
      </c>
      <c r="D991">
        <v>41976.248390423214</v>
      </c>
      <c r="E991">
        <v>28993.407605364962</v>
      </c>
      <c r="F991">
        <v>38007.235911140655</v>
      </c>
      <c r="G991">
        <v>10000</v>
      </c>
      <c r="H991">
        <v>231362.18972468979</v>
      </c>
      <c r="I991">
        <v>29.950409999187031</v>
      </c>
    </row>
    <row r="992" spans="1:9" x14ac:dyDescent="0.2">
      <c r="A992">
        <v>982</v>
      </c>
      <c r="B992">
        <v>914656.18398713181</v>
      </c>
      <c r="C992">
        <v>102830.74169627317</v>
      </c>
      <c r="D992">
        <v>40542.671785276092</v>
      </c>
      <c r="E992">
        <v>77842.391895397595</v>
      </c>
      <c r="F992">
        <v>41389.088669681369</v>
      </c>
      <c r="G992">
        <v>10000</v>
      </c>
      <c r="H992">
        <v>252604.89404662821</v>
      </c>
      <c r="I992">
        <v>44.027582229880409</v>
      </c>
    </row>
    <row r="993" spans="1:9" x14ac:dyDescent="0.2">
      <c r="A993">
        <v>983</v>
      </c>
      <c r="B993">
        <v>1469187.5831369048</v>
      </c>
      <c r="C993">
        <v>108055.41486936805</v>
      </c>
      <c r="D993">
        <v>91610.507358643881</v>
      </c>
      <c r="E993">
        <v>167331.10463728252</v>
      </c>
      <c r="F993">
        <v>47584.461090273398</v>
      </c>
      <c r="G993">
        <v>10000</v>
      </c>
      <c r="H993">
        <v>404581.48795556783</v>
      </c>
      <c r="I993">
        <v>32.140957890237743</v>
      </c>
    </row>
    <row r="994" spans="1:9" x14ac:dyDescent="0.2">
      <c r="A994">
        <v>984</v>
      </c>
      <c r="B994">
        <v>1340142.8981232173</v>
      </c>
      <c r="C994">
        <v>85601.396388954978</v>
      </c>
      <c r="D994">
        <v>87130.74724323058</v>
      </c>
      <c r="E994">
        <v>159444.49309410597</v>
      </c>
      <c r="F994">
        <v>47038.46490651503</v>
      </c>
      <c r="G994">
        <v>10000</v>
      </c>
      <c r="H994">
        <v>369215.10163280653</v>
      </c>
      <c r="I994">
        <v>30.979003275060968</v>
      </c>
    </row>
    <row r="995" spans="1:9" x14ac:dyDescent="0.2">
      <c r="A995">
        <v>985</v>
      </c>
      <c r="B995">
        <v>1160621.6817472652</v>
      </c>
      <c r="C995">
        <v>101610.21543557904</v>
      </c>
      <c r="D995">
        <v>82999.765377935677</v>
      </c>
      <c r="E995">
        <v>102321.20419457597</v>
      </c>
      <c r="F995">
        <v>43083.775675009099</v>
      </c>
      <c r="G995">
        <v>10000</v>
      </c>
      <c r="H995">
        <v>320014.96068309981</v>
      </c>
      <c r="I995">
        <v>48.273078089233287</v>
      </c>
    </row>
    <row r="996" spans="1:9" x14ac:dyDescent="0.2">
      <c r="A996">
        <v>986</v>
      </c>
      <c r="B996">
        <v>1244743.0367956227</v>
      </c>
      <c r="C996">
        <v>107043.59733167889</v>
      </c>
      <c r="D996">
        <v>93049.93126306565</v>
      </c>
      <c r="E996">
        <v>109402.00631730347</v>
      </c>
      <c r="F996">
        <v>43573.985052736389</v>
      </c>
      <c r="G996">
        <v>10000</v>
      </c>
      <c r="H996">
        <v>343069.51996478438</v>
      </c>
      <c r="I996">
        <v>36.543167399701403</v>
      </c>
    </row>
    <row r="997" spans="1:9" x14ac:dyDescent="0.2">
      <c r="A997">
        <v>987</v>
      </c>
      <c r="B997">
        <v>1436863.3928514435</v>
      </c>
      <c r="C997">
        <v>149643.21605712804</v>
      </c>
      <c r="D997">
        <v>72044.443234902195</v>
      </c>
      <c r="E997">
        <v>138449.96342380959</v>
      </c>
      <c r="F997">
        <v>45584.997467802197</v>
      </c>
      <c r="G997">
        <v>10000</v>
      </c>
      <c r="H997">
        <v>395722.62018364202</v>
      </c>
      <c r="I997">
        <v>28.355568747646505</v>
      </c>
    </row>
    <row r="998" spans="1:9" x14ac:dyDescent="0.2">
      <c r="A998">
        <v>988</v>
      </c>
      <c r="B998">
        <v>1375497.8467326835</v>
      </c>
      <c r="C998">
        <v>76326.083650685134</v>
      </c>
      <c r="D998">
        <v>89887.219737330262</v>
      </c>
      <c r="E998">
        <v>174603.36010581386</v>
      </c>
      <c r="F998">
        <v>48087.924930402492</v>
      </c>
      <c r="G998">
        <v>10000</v>
      </c>
      <c r="H998">
        <v>378904.58842423174</v>
      </c>
      <c r="I998">
        <v>32.703919373180767</v>
      </c>
    </row>
    <row r="999" spans="1:9" x14ac:dyDescent="0.2">
      <c r="A999">
        <v>989</v>
      </c>
      <c r="B999">
        <v>866122.85123201995</v>
      </c>
      <c r="C999">
        <v>96020.859473681689</v>
      </c>
      <c r="D999">
        <v>87154.677896584428</v>
      </c>
      <c r="E999">
        <v>28177.416839508838</v>
      </c>
      <c r="F999">
        <v>37950.744242735222</v>
      </c>
      <c r="G999">
        <v>10000</v>
      </c>
      <c r="H999">
        <v>239303.69845251017</v>
      </c>
      <c r="I999">
        <v>25.527746045277677</v>
      </c>
    </row>
    <row r="1000" spans="1:9" x14ac:dyDescent="0.2">
      <c r="A1000">
        <v>990</v>
      </c>
      <c r="B1000">
        <v>728988.6097141084</v>
      </c>
      <c r="C1000">
        <v>105108.62428811412</v>
      </c>
      <c r="D1000">
        <v>31072.813985753677</v>
      </c>
      <c r="E1000">
        <v>36978.757127269979</v>
      </c>
      <c r="F1000">
        <v>38560.06780111869</v>
      </c>
      <c r="G1000">
        <v>10000</v>
      </c>
      <c r="H1000">
        <v>201720.26320225646</v>
      </c>
      <c r="I1000">
        <v>40.235535658292932</v>
      </c>
    </row>
    <row r="1001" spans="1:9" x14ac:dyDescent="0.2">
      <c r="A1001">
        <v>991</v>
      </c>
      <c r="B1001">
        <v>1458371.0369688733</v>
      </c>
      <c r="C1001">
        <v>145337.18463609926</v>
      </c>
      <c r="D1001">
        <v>35490.689393047876</v>
      </c>
      <c r="E1001">
        <v>182176.94754524151</v>
      </c>
      <c r="F1001">
        <v>48612.250214670566</v>
      </c>
      <c r="G1001">
        <v>10000</v>
      </c>
      <c r="H1001">
        <v>401617.07178905921</v>
      </c>
      <c r="I1001">
        <v>38.585959538927085</v>
      </c>
    </row>
    <row r="1002" spans="1:9" x14ac:dyDescent="0.2">
      <c r="A1002">
        <v>992</v>
      </c>
      <c r="B1002">
        <v>998611.86169332673</v>
      </c>
      <c r="C1002">
        <v>123301.71304623071</v>
      </c>
      <c r="D1002">
        <v>88806.047091718137</v>
      </c>
      <c r="E1002">
        <v>35077.822509232908</v>
      </c>
      <c r="F1002">
        <v>38428.464635254582</v>
      </c>
      <c r="G1002">
        <v>10000</v>
      </c>
      <c r="H1002">
        <v>275614.04728243634</v>
      </c>
      <c r="I1002">
        <v>27.556959596642258</v>
      </c>
    </row>
    <row r="1003" spans="1:9" x14ac:dyDescent="0.2">
      <c r="A1003">
        <v>993</v>
      </c>
      <c r="B1003">
        <v>1331350.4298780842</v>
      </c>
      <c r="C1003">
        <v>118093.24751038071</v>
      </c>
      <c r="D1003">
        <v>70449.877755366935</v>
      </c>
      <c r="E1003">
        <v>142403.57615116268</v>
      </c>
      <c r="F1003">
        <v>45858.709118157421</v>
      </c>
      <c r="G1003">
        <v>10000</v>
      </c>
      <c r="H1003">
        <v>366805.41053506779</v>
      </c>
      <c r="I1003">
        <v>33.875913356710129</v>
      </c>
    </row>
    <row r="1004" spans="1:9" x14ac:dyDescent="0.2">
      <c r="A1004">
        <v>994</v>
      </c>
      <c r="B1004">
        <v>1270001.7589930217</v>
      </c>
      <c r="C1004">
        <v>75069.2540709061</v>
      </c>
      <c r="D1004">
        <v>99742.336196068543</v>
      </c>
      <c r="E1004">
        <v>139521.24993078475</v>
      </c>
      <c r="F1004">
        <v>45659.163456746632</v>
      </c>
      <c r="G1004">
        <v>10000</v>
      </c>
      <c r="H1004">
        <v>349992.003654506</v>
      </c>
      <c r="I1004">
        <v>43.225453303367232</v>
      </c>
    </row>
    <row r="1005" spans="1:9" x14ac:dyDescent="0.2">
      <c r="A1005">
        <v>995</v>
      </c>
      <c r="B1005">
        <v>1699442.5919051708</v>
      </c>
      <c r="C1005">
        <v>117287.05584123814</v>
      </c>
      <c r="D1005">
        <v>118947.28173212198</v>
      </c>
      <c r="E1005">
        <v>192148.93325777628</v>
      </c>
      <c r="F1005">
        <v>49302.618456307588</v>
      </c>
      <c r="G1005">
        <v>10000</v>
      </c>
      <c r="H1005">
        <v>467685.88928744395</v>
      </c>
      <c r="I1005">
        <v>29.342256921675002</v>
      </c>
    </row>
    <row r="1006" spans="1:9" x14ac:dyDescent="0.2">
      <c r="A1006">
        <v>996</v>
      </c>
      <c r="B1006">
        <v>1586620.0425997772</v>
      </c>
      <c r="C1006">
        <v>144375.80357065209</v>
      </c>
      <c r="D1006">
        <v>109084.83637049432</v>
      </c>
      <c r="E1006">
        <v>147119.55205530598</v>
      </c>
      <c r="F1006">
        <v>46185.199757675029</v>
      </c>
      <c r="G1006">
        <v>10000</v>
      </c>
      <c r="H1006">
        <v>436765.39175412746</v>
      </c>
      <c r="I1006">
        <v>37.145380858893205</v>
      </c>
    </row>
    <row r="1007" spans="1:9" x14ac:dyDescent="0.2">
      <c r="A1007">
        <v>997</v>
      </c>
      <c r="B1007">
        <v>1236879.6357379188</v>
      </c>
      <c r="C1007">
        <v>108118.41507202506</v>
      </c>
      <c r="D1007">
        <v>143725.69221955404</v>
      </c>
      <c r="E1007">
        <v>58986.653230792857</v>
      </c>
      <c r="F1007">
        <v>40083.691377516428</v>
      </c>
      <c r="G1007">
        <v>10000</v>
      </c>
      <c r="H1007">
        <v>340914.4518998884</v>
      </c>
      <c r="I1007">
        <v>47.817923360929555</v>
      </c>
    </row>
    <row r="1008" spans="1:9" x14ac:dyDescent="0.2">
      <c r="A1008">
        <v>998</v>
      </c>
      <c r="B1008">
        <v>876240.33080818038</v>
      </c>
      <c r="C1008">
        <v>109967.4784328363</v>
      </c>
      <c r="D1008">
        <v>67617.145554596078</v>
      </c>
      <c r="E1008">
        <v>35999.620832549212</v>
      </c>
      <c r="F1008">
        <v>38492.281442253407</v>
      </c>
      <c r="G1008">
        <v>10000</v>
      </c>
      <c r="H1008">
        <v>242076.52626223501</v>
      </c>
      <c r="I1008">
        <v>30.594919075894691</v>
      </c>
    </row>
    <row r="1009" spans="1:9" x14ac:dyDescent="0.2">
      <c r="A1009">
        <v>999</v>
      </c>
      <c r="B1009">
        <v>1318068.8651624662</v>
      </c>
      <c r="C1009">
        <v>115466.0324405977</v>
      </c>
      <c r="D1009">
        <v>80137.392044058739</v>
      </c>
      <c r="E1009">
        <v>132396.11441669203</v>
      </c>
      <c r="F1009">
        <v>45165.884844232525</v>
      </c>
      <c r="G1009">
        <v>10000</v>
      </c>
      <c r="H1009">
        <v>363165.42374558101</v>
      </c>
      <c r="I1009">
        <v>39.920893302373813</v>
      </c>
    </row>
    <row r="1010" spans="1:9" x14ac:dyDescent="0.2">
      <c r="A1010">
        <v>1000</v>
      </c>
      <c r="B1010">
        <v>1096238.9165103929</v>
      </c>
      <c r="C1010">
        <v>106091.91686979086</v>
      </c>
      <c r="D1010">
        <v>64451.280109160609</v>
      </c>
      <c r="E1010">
        <v>98974.727034933705</v>
      </c>
      <c r="F1010">
        <v>42852.096487033872</v>
      </c>
      <c r="G1010">
        <v>10000</v>
      </c>
      <c r="H1010">
        <v>302370.02050091902</v>
      </c>
      <c r="I1010">
        <v>39.745621374257084</v>
      </c>
    </row>
    <row r="1015" spans="1:9" ht="19" x14ac:dyDescent="0.25">
      <c r="A1015" s="4" t="s">
        <v>526</v>
      </c>
    </row>
    <row r="1016" spans="1:9" x14ac:dyDescent="0.2">
      <c r="A1016" t="s">
        <v>527</v>
      </c>
      <c r="B1016" s="15">
        <f>AVERAGE(B11:B1010)</f>
        <v>1292945.9860595684</v>
      </c>
    </row>
    <row r="1017" spans="1:9" x14ac:dyDescent="0.2">
      <c r="A1017" t="s">
        <v>528</v>
      </c>
      <c r="B1017" s="15">
        <f>PERCENTILE(B11:B1010,0.1)</f>
        <v>965899.1197049492</v>
      </c>
    </row>
    <row r="1018" spans="1:9" x14ac:dyDescent="0.2">
      <c r="A1018" t="s">
        <v>529</v>
      </c>
      <c r="B1018" s="15">
        <f>PERCENTILE(B11:B1010,0.5)</f>
        <v>1283200.2180838841</v>
      </c>
    </row>
    <row r="1019" spans="1:9" x14ac:dyDescent="0.2">
      <c r="A1019" t="s">
        <v>530</v>
      </c>
      <c r="B1019" s="15">
        <f>PERCENTILE(B11:B1010,0.9)</f>
        <v>1623579.9509426479</v>
      </c>
    </row>
    <row r="1020" spans="1:9" x14ac:dyDescent="0.2">
      <c r="A1020" t="s">
        <v>531</v>
      </c>
      <c r="B1020" s="15">
        <f>STDEV(B11:B1010)</f>
        <v>251716.61260251494</v>
      </c>
    </row>
    <row r="1021" spans="1:9" x14ac:dyDescent="0.2">
      <c r="A1021" t="s">
        <v>532</v>
      </c>
      <c r="B1021" s="22">
        <f>COUNTIF(B11:B1010,"&gt;0")/1000</f>
        <v>1</v>
      </c>
    </row>
    <row r="1023" spans="1:9" ht="19" x14ac:dyDescent="0.25">
      <c r="A1023" s="4" t="s">
        <v>533</v>
      </c>
    </row>
    <row r="1024" spans="1:9" x14ac:dyDescent="0.2">
      <c r="A1024" t="s">
        <v>534</v>
      </c>
      <c r="B1024" s="20">
        <f>IFERROR(AVERAGE(I11:I1010),"Run MC")</f>
        <v>36.621810663994147</v>
      </c>
    </row>
    <row r="1025" spans="1:2" x14ac:dyDescent="0.2">
      <c r="A1025" t="s">
        <v>535</v>
      </c>
      <c r="B1025" s="20">
        <f>IFERROR(PERCENTILE(I11:I1010,0.1),"Run MC")</f>
        <v>28.219797835361039</v>
      </c>
    </row>
    <row r="1026" spans="1:2" x14ac:dyDescent="0.2">
      <c r="A1026" t="s">
        <v>536</v>
      </c>
      <c r="B1026" s="20">
        <f>IFERROR(PERCENTILE(I11:I1010,0.5),"Run MC")</f>
        <v>35.553723543297451</v>
      </c>
    </row>
    <row r="1027" spans="1:2" x14ac:dyDescent="0.2">
      <c r="A1027" t="s">
        <v>537</v>
      </c>
      <c r="B1027" s="20">
        <f>IFERROR(PERCENTILE(I11:I1010,0.9),"Run MC")</f>
        <v>46.394558043033143</v>
      </c>
    </row>
    <row r="1028" spans="1:2" x14ac:dyDescent="0.2">
      <c r="A1028" t="s">
        <v>538</v>
      </c>
      <c r="B1028" s="22">
        <f>IFERROR(COUNTIF(I11:I1010,"&lt;="&amp;Season_Length)/1000,"Run MC")</f>
        <v>1</v>
      </c>
    </row>
  </sheetData>
  <mergeCells count="2">
    <mergeCell ref="A4:E4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D4"/>
  <sheetViews>
    <sheetView workbookViewId="0"/>
  </sheetViews>
  <sheetFormatPr baseColWidth="10" defaultColWidth="8.83203125" defaultRowHeight="15" x14ac:dyDescent="0.2"/>
  <cols>
    <col min="1" max="1" width="60" customWidth="1"/>
    <col min="2" max="4" width="13" customWidth="1"/>
  </cols>
  <sheetData>
    <row r="1" spans="1:4" ht="21" x14ac:dyDescent="0.25">
      <c r="A1" s="5" t="s">
        <v>539</v>
      </c>
    </row>
    <row r="3" spans="1:4" x14ac:dyDescent="0.2">
      <c r="A3" s="32" t="s">
        <v>540</v>
      </c>
      <c r="B3" s="30"/>
      <c r="C3" s="30"/>
      <c r="D3" s="31"/>
    </row>
    <row r="4" spans="1:4" ht="312" customHeight="1" x14ac:dyDescent="0.2">
      <c r="A4" s="29" t="s">
        <v>541</v>
      </c>
      <c r="B4" s="30"/>
      <c r="C4" s="30"/>
      <c r="D4" s="31"/>
    </row>
  </sheetData>
  <mergeCells count="2">
    <mergeCell ref="A4:D4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1:J23"/>
  <sheetViews>
    <sheetView workbookViewId="0"/>
  </sheetViews>
  <sheetFormatPr baseColWidth="10" defaultColWidth="8.83203125" defaultRowHeight="15" x14ac:dyDescent="0.2"/>
  <cols>
    <col min="1" max="5" width="12" customWidth="1"/>
    <col min="6" max="6" width="14" customWidth="1"/>
    <col min="7" max="7" width="12" customWidth="1"/>
    <col min="8" max="8" width="14" customWidth="1"/>
    <col min="9" max="9" width="16" customWidth="1"/>
    <col min="10" max="10" width="14" customWidth="1"/>
  </cols>
  <sheetData>
    <row r="1" spans="1:10" ht="21" x14ac:dyDescent="0.25">
      <c r="A1" s="5" t="s">
        <v>542</v>
      </c>
    </row>
    <row r="3" spans="1:10" x14ac:dyDescent="0.2">
      <c r="A3" s="32" t="s">
        <v>543</v>
      </c>
      <c r="B3" s="30"/>
      <c r="C3" s="30"/>
      <c r="D3" s="30"/>
      <c r="E3" s="30"/>
      <c r="F3" s="30"/>
      <c r="G3" s="30"/>
      <c r="H3" s="30"/>
      <c r="I3" s="30"/>
      <c r="J3" s="31"/>
    </row>
    <row r="4" spans="1:10" ht="249.5" customHeight="1" x14ac:dyDescent="0.2">
      <c r="A4" s="29" t="s">
        <v>544</v>
      </c>
      <c r="B4" s="30"/>
      <c r="C4" s="30"/>
      <c r="D4" s="30"/>
      <c r="E4" s="30"/>
      <c r="F4" s="30"/>
      <c r="G4" s="30"/>
      <c r="H4" s="30"/>
      <c r="I4" s="30"/>
      <c r="J4" s="31"/>
    </row>
    <row r="6" spans="1:10" x14ac:dyDescent="0.2">
      <c r="A6" s="6" t="s">
        <v>542</v>
      </c>
    </row>
    <row r="7" spans="1:10" ht="15.5" customHeight="1" x14ac:dyDescent="0.2">
      <c r="A7" s="7" t="s">
        <v>46</v>
      </c>
      <c r="B7" s="27" t="s">
        <v>545</v>
      </c>
      <c r="C7" s="28"/>
      <c r="D7" s="28"/>
      <c r="E7" s="28"/>
      <c r="F7" s="28"/>
      <c r="G7" s="28"/>
      <c r="H7" s="28"/>
      <c r="I7" s="28"/>
      <c r="J7" s="28"/>
    </row>
    <row r="8" spans="1:10" ht="15.5" customHeight="1" x14ac:dyDescent="0.2">
      <c r="A8" s="7" t="s">
        <v>48</v>
      </c>
      <c r="B8" s="27" t="s">
        <v>546</v>
      </c>
      <c r="C8" s="28"/>
      <c r="D8" s="28"/>
      <c r="E8" s="28"/>
      <c r="F8" s="28"/>
      <c r="G8" s="28"/>
      <c r="H8" s="28"/>
      <c r="I8" s="28"/>
      <c r="J8" s="28"/>
    </row>
    <row r="9" spans="1:10" ht="46.75" customHeight="1" x14ac:dyDescent="0.2">
      <c r="A9" s="7" t="s">
        <v>50</v>
      </c>
      <c r="B9" s="27" t="s">
        <v>547</v>
      </c>
      <c r="C9" s="28"/>
      <c r="D9" s="28"/>
      <c r="E9" s="28"/>
      <c r="F9" s="28"/>
      <c r="G9" s="28"/>
      <c r="H9" s="28"/>
      <c r="I9" s="28"/>
      <c r="J9" s="28"/>
    </row>
    <row r="10" spans="1:10" ht="15.5" customHeight="1" x14ac:dyDescent="0.2">
      <c r="A10" s="7" t="s">
        <v>52</v>
      </c>
      <c r="B10" s="27" t="s">
        <v>548</v>
      </c>
      <c r="C10" s="28"/>
      <c r="D10" s="28"/>
      <c r="E10" s="28"/>
      <c r="F10" s="28"/>
      <c r="G10" s="28"/>
      <c r="H10" s="28"/>
      <c r="I10" s="28"/>
      <c r="J10" s="28"/>
    </row>
    <row r="11" spans="1:10" ht="15.5" customHeight="1" x14ac:dyDescent="0.2">
      <c r="A11" s="7" t="s">
        <v>54</v>
      </c>
      <c r="B11" s="27" t="s">
        <v>549</v>
      </c>
      <c r="C11" s="28"/>
      <c r="D11" s="28"/>
      <c r="E11" s="28"/>
      <c r="F11" s="28"/>
      <c r="G11" s="28"/>
      <c r="H11" s="28"/>
      <c r="I11" s="28"/>
      <c r="J11" s="28"/>
    </row>
    <row r="12" spans="1:10" x14ac:dyDescent="0.2">
      <c r="A12" s="8" t="s">
        <v>295</v>
      </c>
      <c r="B12" s="8" t="s">
        <v>550</v>
      </c>
      <c r="C12" s="8" t="s">
        <v>551</v>
      </c>
      <c r="D12" s="8" t="s">
        <v>552</v>
      </c>
      <c r="E12" s="8" t="s">
        <v>553</v>
      </c>
      <c r="F12" s="8" t="s">
        <v>554</v>
      </c>
      <c r="G12" s="8" t="s">
        <v>555</v>
      </c>
      <c r="H12" s="8" t="s">
        <v>556</v>
      </c>
      <c r="I12" s="8" t="s">
        <v>451</v>
      </c>
      <c r="J12" s="8" t="s">
        <v>557</v>
      </c>
    </row>
    <row r="13" spans="1:10" x14ac:dyDescent="0.2">
      <c r="A13">
        <f>Base_Year+0</f>
        <v>2026</v>
      </c>
      <c r="B13" s="15">
        <f ca="1">S1_Value*INDEX(Timeline_LearningMult,2)</f>
        <v>68783.74550856014</v>
      </c>
      <c r="C13" s="15">
        <f ca="1">S2_Value*INDEX(Timeline_LearningMult,2)</f>
        <v>53846.85909180445</v>
      </c>
      <c r="D13" s="15">
        <f ca="1">S3_Value*INDEX(Timeline_LearningMult,2)</f>
        <v>74764.346542338841</v>
      </c>
      <c r="E13" s="15">
        <f ca="1">S4_Value*INDEX(Timeline_LearningMult,2)</f>
        <v>23175.993222161916</v>
      </c>
      <c r="F13" s="15">
        <f ca="1">SUM(B13:E13)</f>
        <v>220570.94436486534</v>
      </c>
      <c r="G13" s="15">
        <f>Testing_Cost</f>
        <v>10000</v>
      </c>
      <c r="H13" s="15">
        <f ca="1">F13-G13</f>
        <v>210570.94436486534</v>
      </c>
      <c r="I13">
        <f>INDEX(Timeline_DiscountFactor,2)</f>
        <v>0.95419847328244267</v>
      </c>
      <c r="J13" s="15">
        <f ca="1">H13*I13</f>
        <v>200926.47363059668</v>
      </c>
    </row>
    <row r="14" spans="1:10" x14ac:dyDescent="0.2">
      <c r="A14">
        <f>Base_Year+1</f>
        <v>2027</v>
      </c>
      <c r="B14" s="15">
        <f ca="1">S1_Value*INDEX(Timeline_LearningMult,3)</f>
        <v>103175.6182628402</v>
      </c>
      <c r="C14" s="15">
        <f ca="1">S2_Value*INDEX(Timeline_LearningMult,3)</f>
        <v>80770.288637706675</v>
      </c>
      <c r="D14" s="15">
        <f ca="1">S3_Value*INDEX(Timeline_LearningMult,3)</f>
        <v>112146.51981350826</v>
      </c>
      <c r="E14" s="15">
        <f ca="1">S4_Value*INDEX(Timeline_LearningMult,3)</f>
        <v>34763.989833242871</v>
      </c>
      <c r="F14" s="15">
        <f ca="1">SUM(B14:E14)</f>
        <v>330856.41654729797</v>
      </c>
      <c r="G14" s="15">
        <f>Testing_Cost</f>
        <v>10000</v>
      </c>
      <c r="H14" s="15">
        <f ca="1">F14-G14</f>
        <v>320856.41654729797</v>
      </c>
      <c r="I14">
        <f>INDEX(Timeline_DiscountFactor,3)</f>
        <v>0.91049472641454443</v>
      </c>
      <c r="J14" s="15">
        <f ca="1">H14*I14</f>
        <v>292138.07520258316</v>
      </c>
    </row>
    <row r="15" spans="1:10" x14ac:dyDescent="0.2">
      <c r="A15">
        <f>Base_Year+2</f>
        <v>2028</v>
      </c>
      <c r="B15" s="15">
        <f ca="1">S1_Value*INDEX(Timeline_LearningMult,4)</f>
        <v>137567.49101712028</v>
      </c>
      <c r="C15" s="15">
        <f ca="1">S2_Value*INDEX(Timeline_LearningMult,4)</f>
        <v>107693.7181836089</v>
      </c>
      <c r="D15" s="15">
        <f ca="1">S3_Value*INDEX(Timeline_LearningMult,4)</f>
        <v>149528.69308467768</v>
      </c>
      <c r="E15" s="15">
        <f ca="1">S4_Value*INDEX(Timeline_LearningMult,4)</f>
        <v>46351.986444323833</v>
      </c>
      <c r="F15" s="15">
        <f ca="1">SUM(B15:E15)</f>
        <v>441141.88872973068</v>
      </c>
      <c r="G15" s="15">
        <f>Testing_Cost</f>
        <v>10000</v>
      </c>
      <c r="H15" s="15">
        <f ca="1">F15-G15</f>
        <v>431141.88872973068</v>
      </c>
      <c r="I15">
        <f>INDEX(Timeline_DiscountFactor,4)</f>
        <v>0.86879267787647374</v>
      </c>
      <c r="J15" s="15">
        <f ca="1">H15*I15</f>
        <v>374572.91605422337</v>
      </c>
    </row>
    <row r="16" spans="1:10" x14ac:dyDescent="0.2">
      <c r="A16">
        <f>Base_Year+3</f>
        <v>2029</v>
      </c>
      <c r="B16" s="15">
        <f ca="1">S1_Value*INDEX(Timeline_LearningMult,5)</f>
        <v>137567.49101712028</v>
      </c>
      <c r="C16" s="15">
        <f ca="1">S2_Value*INDEX(Timeline_LearningMult,5)</f>
        <v>107693.7181836089</v>
      </c>
      <c r="D16" s="15">
        <f ca="1">S3_Value*INDEX(Timeline_LearningMult,5)</f>
        <v>149528.69308467768</v>
      </c>
      <c r="E16" s="15">
        <f ca="1">S4_Value*INDEX(Timeline_LearningMult,5)</f>
        <v>46351.986444323833</v>
      </c>
      <c r="F16" s="15">
        <f ca="1">SUM(B16:E16)</f>
        <v>441141.88872973068</v>
      </c>
      <c r="G16" s="15">
        <f>Testing_Cost</f>
        <v>10000</v>
      </c>
      <c r="H16" s="15">
        <f ca="1">F16-G16</f>
        <v>431141.88872973068</v>
      </c>
      <c r="I16">
        <f>INDEX(Timeline_DiscountFactor,5)</f>
        <v>0.82900064682869612</v>
      </c>
      <c r="J16" s="15">
        <f ca="1">H16*I16</f>
        <v>357416.90463189245</v>
      </c>
    </row>
    <row r="17" spans="1:10" x14ac:dyDescent="0.2">
      <c r="A17">
        <f>Base_Year+4</f>
        <v>2030</v>
      </c>
      <c r="B17" s="15">
        <f ca="1">S1_Value*INDEX(Timeline_LearningMult,6)</f>
        <v>137567.49101712028</v>
      </c>
      <c r="C17" s="15">
        <f ca="1">S2_Value*INDEX(Timeline_LearningMult,6)</f>
        <v>107693.7181836089</v>
      </c>
      <c r="D17" s="15">
        <f ca="1">S3_Value*INDEX(Timeline_LearningMult,6)</f>
        <v>149528.69308467768</v>
      </c>
      <c r="E17" s="15">
        <f ca="1">S4_Value*INDEX(Timeline_LearningMult,6)</f>
        <v>46351.986444323833</v>
      </c>
      <c r="F17" s="15">
        <f ca="1">SUM(B17:E17)</f>
        <v>441141.88872973068</v>
      </c>
      <c r="G17" s="15">
        <f>Testing_Cost</f>
        <v>10000</v>
      </c>
      <c r="H17" s="15">
        <f ca="1">F17-G17</f>
        <v>431141.88872973068</v>
      </c>
      <c r="I17">
        <f>INDEX(Timeline_DiscountFactor,6)</f>
        <v>0.79103115155409931</v>
      </c>
      <c r="J17" s="15">
        <f ca="1">H17*I17</f>
        <v>341046.66472508822</v>
      </c>
    </row>
    <row r="20" spans="1:10" ht="19" x14ac:dyDescent="0.25">
      <c r="A20" s="4" t="s">
        <v>558</v>
      </c>
    </row>
    <row r="21" spans="1:10" x14ac:dyDescent="0.2">
      <c r="A21" t="s">
        <v>559</v>
      </c>
      <c r="B21" s="15">
        <f ca="1">SUM(J13:J17)</f>
        <v>1566101.0342443839</v>
      </c>
    </row>
    <row r="22" spans="1:10" x14ac:dyDescent="0.2">
      <c r="A22" t="s">
        <v>560</v>
      </c>
      <c r="B22" s="15">
        <f ca="1">SUM(F13:F17)</f>
        <v>1874853.0271013551</v>
      </c>
    </row>
    <row r="23" spans="1:10" x14ac:dyDescent="0.2">
      <c r="A23" t="s">
        <v>561</v>
      </c>
      <c r="B23" s="15">
        <f ca="1">SUM(H13:H17)</f>
        <v>1824853.0271013551</v>
      </c>
    </row>
  </sheetData>
  <mergeCells count="7">
    <mergeCell ref="B7:J7"/>
    <mergeCell ref="B11:J11"/>
    <mergeCell ref="B10:J10"/>
    <mergeCell ref="A3:J3"/>
    <mergeCell ref="B9:J9"/>
    <mergeCell ref="A4:J4"/>
    <mergeCell ref="B8:J8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472C4"/>
  </sheetPr>
  <dimension ref="A1:D17"/>
  <sheetViews>
    <sheetView workbookViewId="0"/>
  </sheetViews>
  <sheetFormatPr baseColWidth="10" defaultColWidth="8.83203125" defaultRowHeight="15" x14ac:dyDescent="0.2"/>
  <cols>
    <col min="1" max="1" width="12" customWidth="1"/>
    <col min="2" max="4" width="16" customWidth="1"/>
  </cols>
  <sheetData>
    <row r="1" spans="1:4" ht="21" x14ac:dyDescent="0.25">
      <c r="A1" s="5" t="s">
        <v>562</v>
      </c>
    </row>
    <row r="3" spans="1:4" x14ac:dyDescent="0.2">
      <c r="A3" s="32" t="s">
        <v>563</v>
      </c>
      <c r="B3" s="30"/>
      <c r="C3" s="30"/>
      <c r="D3" s="31"/>
    </row>
    <row r="4" spans="1:4" ht="312" customHeight="1" x14ac:dyDescent="0.2">
      <c r="A4" s="29" t="s">
        <v>564</v>
      </c>
      <c r="B4" s="30"/>
      <c r="C4" s="30"/>
      <c r="D4" s="31"/>
    </row>
    <row r="6" spans="1:4" x14ac:dyDescent="0.2">
      <c r="A6" s="6" t="s">
        <v>565</v>
      </c>
    </row>
    <row r="7" spans="1:4" ht="31.25" customHeight="1" x14ac:dyDescent="0.2">
      <c r="A7" s="7" t="s">
        <v>46</v>
      </c>
      <c r="B7" s="27" t="s">
        <v>566</v>
      </c>
      <c r="C7" s="28"/>
      <c r="D7" s="28"/>
    </row>
    <row r="8" spans="1:4" ht="31.25" customHeight="1" x14ac:dyDescent="0.2">
      <c r="A8" s="7" t="s">
        <v>48</v>
      </c>
      <c r="B8" s="27" t="s">
        <v>567</v>
      </c>
      <c r="C8" s="28"/>
      <c r="D8" s="28"/>
    </row>
    <row r="9" spans="1:4" ht="62.5" customHeight="1" x14ac:dyDescent="0.2">
      <c r="A9" s="7" t="s">
        <v>50</v>
      </c>
      <c r="B9" s="27" t="s">
        <v>568</v>
      </c>
      <c r="C9" s="28"/>
      <c r="D9" s="28"/>
    </row>
    <row r="10" spans="1:4" ht="15.5" customHeight="1" x14ac:dyDescent="0.2">
      <c r="A10" s="7" t="s">
        <v>52</v>
      </c>
      <c r="B10" s="27" t="s">
        <v>569</v>
      </c>
      <c r="C10" s="28"/>
      <c r="D10" s="28"/>
    </row>
    <row r="11" spans="1:4" ht="15.5" customHeight="1" x14ac:dyDescent="0.2">
      <c r="A11" s="7" t="s">
        <v>54</v>
      </c>
      <c r="B11" s="27" t="s">
        <v>570</v>
      </c>
      <c r="C11" s="28"/>
      <c r="D11" s="28"/>
    </row>
    <row r="12" spans="1:4" x14ac:dyDescent="0.2">
      <c r="A12" s="8" t="s">
        <v>295</v>
      </c>
      <c r="B12" s="8" t="s">
        <v>571</v>
      </c>
      <c r="C12" s="8" t="s">
        <v>572</v>
      </c>
      <c r="D12" s="8" t="s">
        <v>573</v>
      </c>
    </row>
    <row r="13" spans="1:4" x14ac:dyDescent="0.2">
      <c r="A13">
        <f>Base_Year+0</f>
        <v>2026</v>
      </c>
      <c r="B13" s="15">
        <f ca="1">INDEX(tbl_Annual[Net_Annual],1)</f>
        <v>210570.94436486534</v>
      </c>
      <c r="C13" s="15">
        <f ca="1">B13</f>
        <v>210570.94436486534</v>
      </c>
      <c r="D13" s="15">
        <f ca="1">INDEX(tbl_Annual[Discounted],1)</f>
        <v>200926.47363059668</v>
      </c>
    </row>
    <row r="14" spans="1:4" x14ac:dyDescent="0.2">
      <c r="A14">
        <f>Base_Year+1</f>
        <v>2027</v>
      </c>
      <c r="B14" s="15">
        <f ca="1">INDEX(tbl_Annual[Net_Annual],2)</f>
        <v>320856.41654729797</v>
      </c>
      <c r="C14" s="15">
        <f ca="1">C13+B14</f>
        <v>531427.36091216328</v>
      </c>
      <c r="D14" s="15">
        <f ca="1">D13+INDEX(tbl_Annual[Discounted],2)</f>
        <v>493064.54883317987</v>
      </c>
    </row>
    <row r="15" spans="1:4" x14ac:dyDescent="0.2">
      <c r="A15">
        <f>Base_Year+2</f>
        <v>2028</v>
      </c>
      <c r="B15" s="15">
        <f ca="1">INDEX(tbl_Annual[Net_Annual],3)</f>
        <v>431141.88872973068</v>
      </c>
      <c r="C15" s="15">
        <f ca="1">C14+B15</f>
        <v>962569.2496418939</v>
      </c>
      <c r="D15" s="15">
        <f ca="1">D14+INDEX(tbl_Annual[Discounted],3)</f>
        <v>867637.46488740318</v>
      </c>
    </row>
    <row r="16" spans="1:4" x14ac:dyDescent="0.2">
      <c r="A16">
        <f>Base_Year+3</f>
        <v>2029</v>
      </c>
      <c r="B16" s="15">
        <f ca="1">INDEX(tbl_Annual[Net_Annual],4)</f>
        <v>431141.88872973068</v>
      </c>
      <c r="C16" s="15">
        <f ca="1">C15+B16</f>
        <v>1393711.1383716245</v>
      </c>
      <c r="D16" s="15">
        <f ca="1">D15+INDEX(tbl_Annual[Discounted],4)</f>
        <v>1225054.3695192956</v>
      </c>
    </row>
    <row r="17" spans="1:4" x14ac:dyDescent="0.2">
      <c r="A17">
        <f>Base_Year+4</f>
        <v>2030</v>
      </c>
      <c r="B17" s="15">
        <f ca="1">INDEX(tbl_Annual[Net_Annual],5)</f>
        <v>431141.88872973068</v>
      </c>
      <c r="C17" s="15">
        <f ca="1">C16+B17</f>
        <v>1824853.0271013551</v>
      </c>
      <c r="D17" s="15">
        <f ca="1">D16+INDEX(tbl_Annual[Discounted],5)</f>
        <v>1566101.0342443839</v>
      </c>
    </row>
  </sheetData>
  <mergeCells count="7">
    <mergeCell ref="B10:D10"/>
    <mergeCell ref="B11:D11"/>
    <mergeCell ref="A4:D4"/>
    <mergeCell ref="B8:D8"/>
    <mergeCell ref="A3:D3"/>
    <mergeCell ref="B9:D9"/>
    <mergeCell ref="B7:D7"/>
  </mergeCell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472C4"/>
  </sheetPr>
  <dimension ref="A1:D26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10" customWidth="1"/>
    <col min="4" max="4" width="25" customWidth="1"/>
  </cols>
  <sheetData>
    <row r="1" spans="1:4" ht="21" x14ac:dyDescent="0.25">
      <c r="A1" s="5" t="s">
        <v>574</v>
      </c>
    </row>
    <row r="3" spans="1:4" x14ac:dyDescent="0.2">
      <c r="A3" s="32" t="s">
        <v>575</v>
      </c>
      <c r="B3" s="30"/>
      <c r="C3" s="30"/>
      <c r="D3" s="31"/>
    </row>
    <row r="4" spans="1:4" ht="327.5" customHeight="1" x14ac:dyDescent="0.2">
      <c r="A4" s="29" t="s">
        <v>576</v>
      </c>
      <c r="B4" s="30"/>
      <c r="C4" s="30"/>
      <c r="D4" s="31"/>
    </row>
    <row r="6" spans="1:4" x14ac:dyDescent="0.2">
      <c r="A6" s="6" t="s">
        <v>574</v>
      </c>
    </row>
    <row r="7" spans="1:4" ht="31.25" customHeight="1" x14ac:dyDescent="0.2">
      <c r="A7" s="7" t="s">
        <v>46</v>
      </c>
      <c r="B7" s="27" t="s">
        <v>577</v>
      </c>
      <c r="C7" s="28"/>
      <c r="D7" s="28"/>
    </row>
    <row r="8" spans="1:4" ht="31.25" customHeight="1" x14ac:dyDescent="0.2">
      <c r="A8" s="7" t="s">
        <v>48</v>
      </c>
      <c r="B8" s="27" t="s">
        <v>578</v>
      </c>
      <c r="C8" s="28"/>
      <c r="D8" s="28"/>
    </row>
    <row r="9" spans="1:4" ht="78" customHeight="1" x14ac:dyDescent="0.2">
      <c r="A9" s="7" t="s">
        <v>50</v>
      </c>
      <c r="B9" s="27" t="s">
        <v>579</v>
      </c>
      <c r="C9" s="28"/>
      <c r="D9" s="28"/>
    </row>
    <row r="10" spans="1:4" ht="31.25" customHeight="1" x14ac:dyDescent="0.2">
      <c r="A10" s="7" t="s">
        <v>52</v>
      </c>
      <c r="B10" s="27" t="s">
        <v>580</v>
      </c>
      <c r="C10" s="28"/>
      <c r="D10" s="28"/>
    </row>
    <row r="11" spans="1:4" ht="15.5" customHeight="1" x14ac:dyDescent="0.2">
      <c r="A11" s="7" t="s">
        <v>54</v>
      </c>
      <c r="B11" s="27" t="s">
        <v>581</v>
      </c>
      <c r="C11" s="28"/>
      <c r="D11" s="28"/>
    </row>
    <row r="12" spans="1:4" x14ac:dyDescent="0.2">
      <c r="A12" s="8" t="s">
        <v>455</v>
      </c>
      <c r="B12" s="8" t="s">
        <v>57</v>
      </c>
      <c r="C12" s="8" t="s">
        <v>227</v>
      </c>
      <c r="D12" s="8" t="s">
        <v>456</v>
      </c>
    </row>
    <row r="13" spans="1:4" x14ac:dyDescent="0.2">
      <c r="A13" t="s">
        <v>582</v>
      </c>
      <c r="B13">
        <f>Annual_Throughput</f>
        <v>50000</v>
      </c>
      <c r="C13" t="s">
        <v>273</v>
      </c>
      <c r="D13" t="s">
        <v>583</v>
      </c>
    </row>
    <row r="14" spans="1:4" x14ac:dyDescent="0.2">
      <c r="A14" t="s">
        <v>584</v>
      </c>
      <c r="B14" s="24">
        <f ca="1">Gross_Value</f>
        <v>441141.88872973068</v>
      </c>
      <c r="C14" t="s">
        <v>287</v>
      </c>
      <c r="D14" t="s">
        <v>585</v>
      </c>
    </row>
    <row r="15" spans="1:4" x14ac:dyDescent="0.2">
      <c r="A15" t="s">
        <v>586</v>
      </c>
      <c r="B15" s="24">
        <f>Testing_Cost</f>
        <v>10000</v>
      </c>
      <c r="C15" t="s">
        <v>287</v>
      </c>
      <c r="D15" t="s">
        <v>587</v>
      </c>
    </row>
    <row r="16" spans="1:4" x14ac:dyDescent="0.2">
      <c r="A16" t="s">
        <v>588</v>
      </c>
      <c r="B16" s="24">
        <f ca="1">Gross_Value-Testing_Cost</f>
        <v>431141.88872973068</v>
      </c>
      <c r="C16" t="s">
        <v>287</v>
      </c>
      <c r="D16" t="s">
        <v>589</v>
      </c>
    </row>
    <row r="17" spans="1:4" x14ac:dyDescent="0.2">
      <c r="A17" t="s">
        <v>590</v>
      </c>
      <c r="B17" s="24">
        <f ca="1">Gross_Value/Annual_Throughput</f>
        <v>8.822837774594614</v>
      </c>
      <c r="C17" t="s">
        <v>276</v>
      </c>
      <c r="D17" t="s">
        <v>591</v>
      </c>
    </row>
    <row r="18" spans="1:4" x14ac:dyDescent="0.2">
      <c r="A18" t="s">
        <v>592</v>
      </c>
      <c r="B18" s="24">
        <f ca="1">(Gross_Value-Testing_Cost)/Annual_Throughput</f>
        <v>8.622837774594613</v>
      </c>
      <c r="C18" t="s">
        <v>276</v>
      </c>
      <c r="D18" t="s">
        <v>593</v>
      </c>
    </row>
    <row r="19" spans="1:4" x14ac:dyDescent="0.2">
      <c r="A19" t="s">
        <v>594</v>
      </c>
      <c r="B19" s="24">
        <f>Testing_Cost/Annual_Throughput</f>
        <v>0.2</v>
      </c>
      <c r="C19" t="s">
        <v>276</v>
      </c>
      <c r="D19" t="s">
        <v>595</v>
      </c>
    </row>
    <row r="20" spans="1:4" x14ac:dyDescent="0.2">
      <c r="A20" t="s">
        <v>596</v>
      </c>
      <c r="B20" s="24">
        <f ca="1">NPV_Total/(Annual_Throughput*5)</f>
        <v>6.2644041369775358</v>
      </c>
      <c r="C20" t="s">
        <v>276</v>
      </c>
      <c r="D20" t="s">
        <v>597</v>
      </c>
    </row>
    <row r="23" spans="1:4" ht="19" x14ac:dyDescent="0.25">
      <c r="A23" s="4" t="s">
        <v>598</v>
      </c>
    </row>
    <row r="24" spans="1:4" x14ac:dyDescent="0.2">
      <c r="A24" t="s">
        <v>599</v>
      </c>
      <c r="B24" s="15">
        <f>INDEX(TestOpt_Cost,MATCH(Testing_Option,TestOpt_Option,0))</f>
        <v>10</v>
      </c>
    </row>
    <row r="25" spans="1:4" x14ac:dyDescent="0.2">
      <c r="A25" t="s">
        <v>600</v>
      </c>
      <c r="B25">
        <f>Testing_Cost/INDEX(TestOpt_Cost,MATCH(Testing_Option,TestOpt_Option,0))</f>
        <v>1000</v>
      </c>
    </row>
    <row r="26" spans="1:4" x14ac:dyDescent="0.2">
      <c r="A26" t="s">
        <v>601</v>
      </c>
      <c r="B26" s="24">
        <f ca="1">(Gross_Value-Testing_Cost)/(Testing_Cost/INDEX(TestOpt_Cost,MATCH(Testing_Option,TestOpt_Option,0)))</f>
        <v>431.14188872973068</v>
      </c>
    </row>
  </sheetData>
  <mergeCells count="7">
    <mergeCell ref="B10:D10"/>
    <mergeCell ref="B11:D11"/>
    <mergeCell ref="A4:D4"/>
    <mergeCell ref="B8:D8"/>
    <mergeCell ref="A3:D3"/>
    <mergeCell ref="B9:D9"/>
    <mergeCell ref="B7:D7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472C4"/>
  </sheetPr>
  <dimension ref="A1:G27"/>
  <sheetViews>
    <sheetView workbookViewId="0"/>
  </sheetViews>
  <sheetFormatPr baseColWidth="10" defaultColWidth="8.83203125" defaultRowHeight="15" x14ac:dyDescent="0.2"/>
  <cols>
    <col min="1" max="1" width="18" customWidth="1"/>
    <col min="2" max="4" width="12" customWidth="1"/>
    <col min="5" max="7" width="15" customWidth="1"/>
  </cols>
  <sheetData>
    <row r="1" spans="1:7" ht="21" x14ac:dyDescent="0.25">
      <c r="A1" s="5" t="s">
        <v>602</v>
      </c>
    </row>
    <row r="3" spans="1:7" x14ac:dyDescent="0.2">
      <c r="A3" s="32" t="s">
        <v>603</v>
      </c>
      <c r="B3" s="30"/>
      <c r="C3" s="30"/>
      <c r="D3" s="30"/>
      <c r="E3" s="30"/>
      <c r="F3" s="30"/>
      <c r="G3" s="31"/>
    </row>
    <row r="4" spans="1:7" ht="374.5" customHeight="1" x14ac:dyDescent="0.2">
      <c r="A4" s="29" t="s">
        <v>604</v>
      </c>
      <c r="B4" s="30"/>
      <c r="C4" s="30"/>
      <c r="D4" s="30"/>
      <c r="E4" s="30"/>
      <c r="F4" s="30"/>
      <c r="G4" s="31"/>
    </row>
    <row r="6" spans="1:7" x14ac:dyDescent="0.2">
      <c r="A6" s="6" t="s">
        <v>602</v>
      </c>
    </row>
    <row r="7" spans="1:7" ht="31.25" customHeight="1" x14ac:dyDescent="0.2">
      <c r="A7" s="7" t="s">
        <v>46</v>
      </c>
      <c r="B7" s="27" t="s">
        <v>605</v>
      </c>
      <c r="C7" s="28"/>
      <c r="D7" s="28"/>
      <c r="E7" s="28"/>
      <c r="F7" s="28"/>
      <c r="G7" s="28"/>
    </row>
    <row r="8" spans="1:7" ht="15.5" customHeight="1" x14ac:dyDescent="0.2">
      <c r="A8" s="7" t="s">
        <v>48</v>
      </c>
      <c r="B8" s="27" t="s">
        <v>606</v>
      </c>
      <c r="C8" s="28"/>
      <c r="D8" s="28"/>
      <c r="E8" s="28"/>
      <c r="F8" s="28"/>
      <c r="G8" s="28"/>
    </row>
    <row r="9" spans="1:7" ht="46.75" customHeight="1" x14ac:dyDescent="0.2">
      <c r="A9" s="7" t="s">
        <v>50</v>
      </c>
      <c r="B9" s="27" t="s">
        <v>607</v>
      </c>
      <c r="C9" s="28"/>
      <c r="D9" s="28"/>
      <c r="E9" s="28"/>
      <c r="F9" s="28"/>
      <c r="G9" s="28"/>
    </row>
    <row r="10" spans="1:7" ht="15.5" customHeight="1" x14ac:dyDescent="0.2">
      <c r="A10" s="7" t="s">
        <v>52</v>
      </c>
      <c r="B10" s="27" t="s">
        <v>608</v>
      </c>
      <c r="C10" s="28"/>
      <c r="D10" s="28"/>
      <c r="E10" s="28"/>
      <c r="F10" s="28"/>
      <c r="G10" s="28"/>
    </row>
    <row r="11" spans="1:7" ht="15.5" customHeight="1" x14ac:dyDescent="0.2">
      <c r="A11" s="7" t="s">
        <v>54</v>
      </c>
      <c r="B11" s="27" t="s">
        <v>609</v>
      </c>
      <c r="C11" s="28"/>
      <c r="D11" s="28"/>
      <c r="E11" s="28"/>
      <c r="F11" s="28"/>
      <c r="G11" s="28"/>
    </row>
    <row r="12" spans="1:7" x14ac:dyDescent="0.2">
      <c r="A12" s="8" t="s">
        <v>56</v>
      </c>
      <c r="B12" s="8" t="s">
        <v>432</v>
      </c>
      <c r="C12" s="8" t="s">
        <v>65</v>
      </c>
      <c r="D12" s="8" t="s">
        <v>433</v>
      </c>
      <c r="E12" s="8" t="s">
        <v>610</v>
      </c>
      <c r="F12" s="8" t="s">
        <v>611</v>
      </c>
      <c r="G12" s="8" t="s">
        <v>612</v>
      </c>
    </row>
    <row r="13" spans="1:7" x14ac:dyDescent="0.2">
      <c r="A13" t="s">
        <v>613</v>
      </c>
      <c r="B13">
        <v>3</v>
      </c>
      <c r="C13">
        <v>5</v>
      </c>
      <c r="D13">
        <v>10</v>
      </c>
      <c r="E13" s="15">
        <f ca="1">NPV_Total*(B13/C13)</f>
        <v>939660.62054663035</v>
      </c>
      <c r="F13" s="15">
        <f ca="1">NPV_Total*(D13/C13)</f>
        <v>3132202.0684887678</v>
      </c>
      <c r="G13" s="15">
        <f ca="1">ABS(F13-E13)</f>
        <v>2192541.4479421377</v>
      </c>
    </row>
    <row r="14" spans="1:7" x14ac:dyDescent="0.2">
      <c r="A14" t="s">
        <v>67</v>
      </c>
      <c r="B14">
        <v>0.04</v>
      </c>
      <c r="C14">
        <v>4.8000000000000001E-2</v>
      </c>
      <c r="D14">
        <v>0.06</v>
      </c>
      <c r="E14" s="15">
        <f ca="1">NPV_Total*((1+C14)/(1+B14))^2.5</f>
        <v>1596392.3381865753</v>
      </c>
      <c r="F14" s="15">
        <f ca="1">NPV_Total*((1+C14)/(1+D14))^2.5</f>
        <v>1522153.0415711631</v>
      </c>
      <c r="G14" s="15">
        <f ca="1">ABS(F14-E14)</f>
        <v>74239.296615412226</v>
      </c>
    </row>
    <row r="15" spans="1:7" x14ac:dyDescent="0.2">
      <c r="A15" t="s">
        <v>186</v>
      </c>
      <c r="B15">
        <v>80</v>
      </c>
      <c r="C15">
        <v>100</v>
      </c>
      <c r="D15">
        <v>120</v>
      </c>
      <c r="E15" s="15">
        <f ca="1">NPV_Total*(B15/C15)</f>
        <v>1252880.8273955071</v>
      </c>
      <c r="F15" s="15">
        <f ca="1">NPV_Total*(D15/C15)</f>
        <v>1879321.2410932607</v>
      </c>
      <c r="G15" s="15">
        <f ca="1">ABS(F15-E15)</f>
        <v>626440.41369775357</v>
      </c>
    </row>
    <row r="16" spans="1:7" x14ac:dyDescent="0.2">
      <c r="A16" t="s">
        <v>614</v>
      </c>
      <c r="B16">
        <v>0.5</v>
      </c>
      <c r="C16">
        <v>1</v>
      </c>
      <c r="D16">
        <v>2</v>
      </c>
      <c r="E16" s="15">
        <f ca="1">NPV_Total*(B16/C16)</f>
        <v>783050.51712219196</v>
      </c>
      <c r="F16" s="15">
        <f ca="1">NPV_Total*(D16/C16)</f>
        <v>3132202.0684887678</v>
      </c>
      <c r="G16" s="15">
        <f ca="1">ABS(F16-E16)</f>
        <v>2349151.551366576</v>
      </c>
    </row>
    <row r="19" spans="1:1" ht="19" x14ac:dyDescent="0.25">
      <c r="A19" s="4" t="s">
        <v>615</v>
      </c>
    </row>
    <row r="20" spans="1:1" x14ac:dyDescent="0.2">
      <c r="A20" t="s">
        <v>616</v>
      </c>
    </row>
    <row r="21" spans="1:1" x14ac:dyDescent="0.2">
      <c r="A21" t="s">
        <v>617</v>
      </c>
    </row>
    <row r="22" spans="1:1" x14ac:dyDescent="0.2">
      <c r="A22" t="s">
        <v>618</v>
      </c>
    </row>
    <row r="24" spans="1:1" ht="19" x14ac:dyDescent="0.25">
      <c r="A24" s="4" t="s">
        <v>619</v>
      </c>
    </row>
    <row r="25" spans="1:1" x14ac:dyDescent="0.2">
      <c r="A25" t="s">
        <v>620</v>
      </c>
    </row>
    <row r="26" spans="1:1" x14ac:dyDescent="0.2">
      <c r="A26" t="s">
        <v>621</v>
      </c>
    </row>
    <row r="27" spans="1:1" x14ac:dyDescent="0.2">
      <c r="A27" t="s">
        <v>622</v>
      </c>
    </row>
  </sheetData>
  <mergeCells count="7">
    <mergeCell ref="B11:G11"/>
    <mergeCell ref="B10:G10"/>
    <mergeCell ref="A3:G3"/>
    <mergeCell ref="B9:G9"/>
    <mergeCell ref="A4:G4"/>
    <mergeCell ref="B8:G8"/>
    <mergeCell ref="B7:G7"/>
  </mergeCell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D67"/>
  <sheetViews>
    <sheetView topLeftCell="A9" workbookViewId="0"/>
  </sheetViews>
  <sheetFormatPr baseColWidth="10" defaultColWidth="8.83203125" defaultRowHeight="15" x14ac:dyDescent="0.2"/>
  <cols>
    <col min="1" max="1" width="30" customWidth="1"/>
    <col min="2" max="2" width="18" customWidth="1"/>
    <col min="3" max="3" width="16" customWidth="1"/>
    <col min="4" max="4" width="18" customWidth="1"/>
  </cols>
  <sheetData>
    <row r="1" spans="1:4" ht="21" x14ac:dyDescent="0.25">
      <c r="A1" s="5" t="s">
        <v>623</v>
      </c>
    </row>
    <row r="3" spans="1:4" x14ac:dyDescent="0.2">
      <c r="A3" s="32" t="s">
        <v>624</v>
      </c>
      <c r="B3" s="30"/>
      <c r="C3" s="30"/>
      <c r="D3" s="31"/>
    </row>
    <row r="4" spans="1:4" ht="280.75" customHeight="1" x14ac:dyDescent="0.2">
      <c r="A4" s="29" t="s">
        <v>625</v>
      </c>
      <c r="B4" s="30"/>
      <c r="C4" s="30"/>
      <c r="D4" s="31"/>
    </row>
    <row r="6" spans="1:4" x14ac:dyDescent="0.2">
      <c r="A6" s="6" t="s">
        <v>626</v>
      </c>
    </row>
    <row r="7" spans="1:4" ht="31.25" customHeight="1" x14ac:dyDescent="0.2">
      <c r="A7" s="7" t="s">
        <v>46</v>
      </c>
      <c r="B7" s="27" t="s">
        <v>627</v>
      </c>
      <c r="C7" s="28"/>
      <c r="D7" s="28"/>
    </row>
    <row r="8" spans="1:4" ht="31.25" customHeight="1" x14ac:dyDescent="0.2">
      <c r="A8" s="7" t="s">
        <v>48</v>
      </c>
      <c r="B8" s="27" t="s">
        <v>628</v>
      </c>
      <c r="C8" s="28"/>
      <c r="D8" s="28"/>
    </row>
    <row r="9" spans="1:4" ht="124.75" customHeight="1" x14ac:dyDescent="0.2">
      <c r="A9" s="7" t="s">
        <v>50</v>
      </c>
      <c r="B9" s="27" t="s">
        <v>629</v>
      </c>
      <c r="C9" s="28"/>
      <c r="D9" s="28"/>
    </row>
    <row r="10" spans="1:4" ht="31.25" customHeight="1" x14ac:dyDescent="0.2">
      <c r="A10" s="7" t="s">
        <v>52</v>
      </c>
      <c r="B10" s="27" t="s">
        <v>630</v>
      </c>
      <c r="C10" s="28"/>
      <c r="D10" s="28"/>
    </row>
    <row r="11" spans="1:4" ht="15.5" customHeight="1" x14ac:dyDescent="0.2">
      <c r="A11" s="7" t="s">
        <v>54</v>
      </c>
      <c r="B11" s="27" t="s">
        <v>631</v>
      </c>
      <c r="C11" s="28"/>
      <c r="D11" s="28"/>
    </row>
    <row r="12" spans="1:4" x14ac:dyDescent="0.2">
      <c r="A12" s="8" t="s">
        <v>455</v>
      </c>
      <c r="B12" s="8" t="s">
        <v>57</v>
      </c>
    </row>
    <row r="13" spans="1:4" x14ac:dyDescent="0.2">
      <c r="A13" t="s">
        <v>632</v>
      </c>
      <c r="B13" t="str">
        <f>Testing_Option</f>
        <v>Daily_Biosensor</v>
      </c>
    </row>
    <row r="14" spans="1:4" x14ac:dyDescent="0.2">
      <c r="A14" t="s">
        <v>633</v>
      </c>
      <c r="B14" s="15">
        <f ca="1">NPV_Total</f>
        <v>1566101.0342443839</v>
      </c>
    </row>
    <row r="15" spans="1:4" x14ac:dyDescent="0.2">
      <c r="A15" t="s">
        <v>634</v>
      </c>
      <c r="B15" s="15">
        <f>MC_P10</f>
        <v>965899.1197049492</v>
      </c>
    </row>
    <row r="16" spans="1:4" x14ac:dyDescent="0.2">
      <c r="A16" t="s">
        <v>635</v>
      </c>
      <c r="B16" s="15">
        <f>MC_P50</f>
        <v>1283200.2180838841</v>
      </c>
    </row>
    <row r="17" spans="1:4" x14ac:dyDescent="0.2">
      <c r="A17" t="s">
        <v>636</v>
      </c>
      <c r="B17" s="15">
        <f>MC_P90</f>
        <v>1623579.9509426479</v>
      </c>
    </row>
    <row r="18" spans="1:4" x14ac:dyDescent="0.2">
      <c r="A18" t="s">
        <v>637</v>
      </c>
      <c r="B18" s="22">
        <f>MC_Prob_Positive</f>
        <v>1</v>
      </c>
    </row>
    <row r="19" spans="1:4" x14ac:dyDescent="0.2">
      <c r="A19" t="s">
        <v>638</v>
      </c>
      <c r="B19" s="15">
        <f>Testing_Cost</f>
        <v>10000</v>
      </c>
    </row>
    <row r="20" spans="1:4" x14ac:dyDescent="0.2">
      <c r="A20" t="s">
        <v>639</v>
      </c>
      <c r="B20" s="15">
        <f ca="1">Year1_Gross_Value</f>
        <v>220570.94436486534</v>
      </c>
    </row>
    <row r="21" spans="1:4" x14ac:dyDescent="0.2">
      <c r="A21" t="s">
        <v>640</v>
      </c>
      <c r="B21" s="15">
        <f ca="1">Year1_Net_Value</f>
        <v>210570.94436486534</v>
      </c>
    </row>
    <row r="23" spans="1:4" x14ac:dyDescent="0.2">
      <c r="A23" s="6" t="s">
        <v>641</v>
      </c>
    </row>
    <row r="24" spans="1:4" ht="31.25" customHeight="1" x14ac:dyDescent="0.2">
      <c r="A24" s="7" t="s">
        <v>46</v>
      </c>
      <c r="B24" s="27" t="s">
        <v>642</v>
      </c>
      <c r="C24" s="28"/>
      <c r="D24" s="28"/>
    </row>
    <row r="25" spans="1:4" ht="31.25" customHeight="1" x14ac:dyDescent="0.2">
      <c r="A25" s="7" t="s">
        <v>48</v>
      </c>
      <c r="B25" s="27" t="s">
        <v>643</v>
      </c>
      <c r="C25" s="28"/>
      <c r="D25" s="28"/>
    </row>
    <row r="26" spans="1:4" ht="124.75" customHeight="1" x14ac:dyDescent="0.2">
      <c r="A26" s="7" t="s">
        <v>50</v>
      </c>
      <c r="B26" s="27" t="s">
        <v>644</v>
      </c>
      <c r="C26" s="28"/>
      <c r="D26" s="28"/>
    </row>
    <row r="27" spans="1:4" ht="31.25" customHeight="1" x14ac:dyDescent="0.2">
      <c r="A27" s="7" t="s">
        <v>52</v>
      </c>
      <c r="B27" s="27" t="s">
        <v>645</v>
      </c>
      <c r="C27" s="28"/>
      <c r="D27" s="28"/>
    </row>
    <row r="28" spans="1:4" ht="15.5" customHeight="1" x14ac:dyDescent="0.2">
      <c r="A28" s="7" t="s">
        <v>54</v>
      </c>
      <c r="B28" s="27" t="s">
        <v>646</v>
      </c>
      <c r="C28" s="28"/>
      <c r="D28" s="28"/>
    </row>
    <row r="29" spans="1:4" x14ac:dyDescent="0.2">
      <c r="A29" s="8" t="s">
        <v>93</v>
      </c>
      <c r="B29" s="8" t="s">
        <v>492</v>
      </c>
      <c r="C29" s="8" t="s">
        <v>647</v>
      </c>
    </row>
    <row r="30" spans="1:4" x14ac:dyDescent="0.2">
      <c r="A30" t="s">
        <v>97</v>
      </c>
      <c r="B30" s="15">
        <f ca="1">S1_Value</f>
        <v>137567.49101712028</v>
      </c>
      <c r="C30" t="str">
        <f>INDEX(Gate_S1,MATCH(Testing_Option,TestOpt_Option,0))</f>
        <v>ENABLED</v>
      </c>
    </row>
    <row r="31" spans="1:4" x14ac:dyDescent="0.2">
      <c r="A31" t="s">
        <v>101</v>
      </c>
      <c r="B31" s="15">
        <f ca="1">S2_Value</f>
        <v>107693.7181836089</v>
      </c>
      <c r="C31" t="str">
        <f>INDEX(Gate_S2,MATCH(Testing_Option,TestOpt_Option,0))</f>
        <v>ENABLED</v>
      </c>
    </row>
    <row r="32" spans="1:4" x14ac:dyDescent="0.2">
      <c r="A32" t="s">
        <v>102</v>
      </c>
      <c r="B32" s="15">
        <f ca="1">S3_Value</f>
        <v>149528.69308467768</v>
      </c>
      <c r="C32" t="str">
        <f>INDEX(Gate_S3,MATCH(Testing_Option,TestOpt_Option,0))</f>
        <v>ENABLED</v>
      </c>
    </row>
    <row r="33" spans="1:4" x14ac:dyDescent="0.2">
      <c r="A33" t="s">
        <v>104</v>
      </c>
      <c r="B33" s="15">
        <f ca="1">S4_Value</f>
        <v>46351.986444323833</v>
      </c>
      <c r="C33" t="str">
        <f>INDEX(Gate_S4,MATCH(Testing_Option,TestOpt_Option,0))</f>
        <v>ENABLED</v>
      </c>
    </row>
    <row r="35" spans="1:4" x14ac:dyDescent="0.2">
      <c r="A35" s="6" t="s">
        <v>453</v>
      </c>
    </row>
    <row r="36" spans="1:4" ht="31.25" customHeight="1" x14ac:dyDescent="0.2">
      <c r="A36" s="7" t="s">
        <v>46</v>
      </c>
      <c r="B36" s="27" t="s">
        <v>648</v>
      </c>
      <c r="C36" s="28"/>
      <c r="D36" s="28"/>
    </row>
    <row r="37" spans="1:4" ht="31.25" customHeight="1" x14ac:dyDescent="0.2">
      <c r="A37" s="7" t="s">
        <v>48</v>
      </c>
      <c r="B37" s="27" t="s">
        <v>649</v>
      </c>
      <c r="C37" s="28"/>
      <c r="D37" s="28"/>
    </row>
    <row r="38" spans="1:4" ht="124.75" customHeight="1" x14ac:dyDescent="0.2">
      <c r="A38" s="7" t="s">
        <v>50</v>
      </c>
      <c r="B38" s="27" t="s">
        <v>650</v>
      </c>
      <c r="C38" s="28"/>
      <c r="D38" s="28"/>
    </row>
    <row r="39" spans="1:4" ht="15.5" customHeight="1" x14ac:dyDescent="0.2">
      <c r="A39" s="7" t="s">
        <v>52</v>
      </c>
      <c r="B39" s="27" t="s">
        <v>651</v>
      </c>
      <c r="C39" s="28"/>
      <c r="D39" s="28"/>
    </row>
    <row r="40" spans="1:4" ht="15.5" customHeight="1" x14ac:dyDescent="0.2">
      <c r="A40" s="7" t="s">
        <v>54</v>
      </c>
      <c r="B40" s="27" t="s">
        <v>652</v>
      </c>
      <c r="C40" s="28"/>
      <c r="D40" s="28"/>
    </row>
    <row r="41" spans="1:4" x14ac:dyDescent="0.2">
      <c r="A41" s="8" t="s">
        <v>455</v>
      </c>
      <c r="B41" s="8" t="s">
        <v>57</v>
      </c>
      <c r="C41" s="8" t="s">
        <v>647</v>
      </c>
    </row>
    <row r="42" spans="1:4" x14ac:dyDescent="0.2">
      <c r="A42" t="s">
        <v>653</v>
      </c>
      <c r="B42" s="25">
        <f>Initial_NAFC</f>
        <v>63.1</v>
      </c>
      <c r="C42" t="str">
        <f>IF(Initial_NAFC&gt;Target_NAFC,"Above Target","At/Below Target")</f>
        <v>Above Target</v>
      </c>
    </row>
    <row r="43" spans="1:4" x14ac:dyDescent="0.2">
      <c r="A43" t="s">
        <v>654</v>
      </c>
      <c r="B43" s="25">
        <f>Target_NAFC</f>
        <v>50</v>
      </c>
      <c r="C43" t="s">
        <v>655</v>
      </c>
    </row>
    <row r="44" spans="1:4" x14ac:dyDescent="0.2">
      <c r="A44" t="s">
        <v>656</v>
      </c>
      <c r="B44" s="26">
        <f ca="1">Days_to_Compliance</f>
        <v>36.231137693391176</v>
      </c>
      <c r="C44" t="str">
        <f ca="1">Compliance_Status</f>
        <v>ACHIEVABLE</v>
      </c>
    </row>
    <row r="45" spans="1:4" x14ac:dyDescent="0.2">
      <c r="A45" t="s">
        <v>657</v>
      </c>
      <c r="B45" s="21">
        <f ca="1">Circulation_Cycles</f>
        <v>3</v>
      </c>
      <c r="C45" t="str">
        <f ca="1">IF(Circulation_Cycles&lt;=3,"Standard","Extended")</f>
        <v>Standard</v>
      </c>
    </row>
    <row r="46" spans="1:4" x14ac:dyDescent="0.2">
      <c r="A46" t="s">
        <v>658</v>
      </c>
      <c r="B46" s="22">
        <f>Treatment_Efficiency</f>
        <v>0.2076069730586371</v>
      </c>
      <c r="C46" t="str">
        <f>IF(Treatment_Efficiency&gt;0.2,"Good","Low")</f>
        <v>Good</v>
      </c>
    </row>
    <row r="47" spans="1:4" x14ac:dyDescent="0.2">
      <c r="A47" t="s">
        <v>659</v>
      </c>
      <c r="B47" s="26">
        <f>MC_Expected_Days</f>
        <v>36.621810663994147</v>
      </c>
      <c r="C47" t="str">
        <f>IF(MC_Expected_Days&lt;=Season_Length,"Achievable","Risk")</f>
        <v>Achievable</v>
      </c>
    </row>
    <row r="48" spans="1:4" x14ac:dyDescent="0.2">
      <c r="A48" t="s">
        <v>660</v>
      </c>
      <c r="B48" s="26">
        <f>MC_P90_Days</f>
        <v>46.394558043033143</v>
      </c>
      <c r="C48" t="str">
        <f>IF(MC_P90_Days&lt;=Season_Length,"Low Risk","High Risk")</f>
        <v>Low Risk</v>
      </c>
    </row>
    <row r="49" spans="1:4" x14ac:dyDescent="0.2">
      <c r="A49" t="s">
        <v>661</v>
      </c>
      <c r="B49" s="22">
        <f>MC_Prob_Achievable</f>
        <v>1</v>
      </c>
      <c r="C49" t="str">
        <f>IF(MC_Prob_Achievable&gt;=0.9,"High Confidence","Review Required")</f>
        <v>High Confidence</v>
      </c>
    </row>
    <row r="51" spans="1:4" x14ac:dyDescent="0.2">
      <c r="A51" s="6" t="s">
        <v>662</v>
      </c>
    </row>
    <row r="52" spans="1:4" ht="31.25" customHeight="1" x14ac:dyDescent="0.2">
      <c r="A52" s="7" t="s">
        <v>46</v>
      </c>
      <c r="B52" s="27" t="s">
        <v>663</v>
      </c>
      <c r="C52" s="28"/>
      <c r="D52" s="28"/>
    </row>
    <row r="53" spans="1:4" ht="31.25" customHeight="1" x14ac:dyDescent="0.2">
      <c r="A53" s="7" t="s">
        <v>48</v>
      </c>
      <c r="B53" s="27" t="s">
        <v>664</v>
      </c>
      <c r="C53" s="28"/>
      <c r="D53" s="28"/>
    </row>
    <row r="54" spans="1:4" ht="78" customHeight="1" x14ac:dyDescent="0.2">
      <c r="A54" s="7" t="s">
        <v>50</v>
      </c>
      <c r="B54" s="27" t="s">
        <v>665</v>
      </c>
      <c r="C54" s="28"/>
      <c r="D54" s="28"/>
    </row>
    <row r="55" spans="1:4" ht="31.25" customHeight="1" x14ac:dyDescent="0.2">
      <c r="A55" s="7" t="s">
        <v>52</v>
      </c>
      <c r="B55" s="27" t="s">
        <v>666</v>
      </c>
      <c r="C55" s="28"/>
      <c r="D55" s="28"/>
    </row>
    <row r="56" spans="1:4" ht="15.5" customHeight="1" x14ac:dyDescent="0.2">
      <c r="A56" s="7" t="s">
        <v>54</v>
      </c>
      <c r="B56" s="27" t="s">
        <v>667</v>
      </c>
      <c r="C56" s="28"/>
      <c r="D56" s="28"/>
    </row>
    <row r="57" spans="1:4" x14ac:dyDescent="0.2">
      <c r="A57" s="8" t="s">
        <v>455</v>
      </c>
      <c r="B57" s="8" t="s">
        <v>312</v>
      </c>
      <c r="C57" s="8" t="s">
        <v>313</v>
      </c>
      <c r="D57" s="8" t="s">
        <v>61</v>
      </c>
    </row>
    <row r="58" spans="1:4" x14ac:dyDescent="0.2">
      <c r="A58" t="s">
        <v>668</v>
      </c>
      <c r="B58" t="s">
        <v>99</v>
      </c>
      <c r="C58" t="s">
        <v>99</v>
      </c>
      <c r="D58" t="s">
        <v>100</v>
      </c>
    </row>
    <row r="59" spans="1:4" x14ac:dyDescent="0.2">
      <c r="A59" t="s">
        <v>669</v>
      </c>
      <c r="B59" t="s">
        <v>99</v>
      </c>
      <c r="C59" t="s">
        <v>99</v>
      </c>
      <c r="D59" t="s">
        <v>100</v>
      </c>
    </row>
    <row r="60" spans="1:4" x14ac:dyDescent="0.2">
      <c r="A60" t="s">
        <v>670</v>
      </c>
      <c r="B60" t="s">
        <v>99</v>
      </c>
      <c r="C60" t="s">
        <v>100</v>
      </c>
      <c r="D60" t="s">
        <v>100</v>
      </c>
    </row>
    <row r="61" spans="1:4" x14ac:dyDescent="0.2">
      <c r="A61" t="s">
        <v>671</v>
      </c>
      <c r="B61" t="s">
        <v>99</v>
      </c>
      <c r="C61" t="s">
        <v>99</v>
      </c>
      <c r="D61" t="s">
        <v>100</v>
      </c>
    </row>
    <row r="62" spans="1:4" x14ac:dyDescent="0.2">
      <c r="A62" t="s">
        <v>672</v>
      </c>
      <c r="B62" t="s">
        <v>673</v>
      </c>
      <c r="C62" t="s">
        <v>674</v>
      </c>
      <c r="D62" t="s">
        <v>675</v>
      </c>
    </row>
    <row r="63" spans="1:4" x14ac:dyDescent="0.2">
      <c r="A63" t="s">
        <v>676</v>
      </c>
      <c r="B63" t="s">
        <v>677</v>
      </c>
      <c r="C63" t="s">
        <v>678</v>
      </c>
      <c r="D63" t="s">
        <v>679</v>
      </c>
    </row>
    <row r="65" spans="1:2" ht="19" x14ac:dyDescent="0.25">
      <c r="A65" s="4" t="s">
        <v>680</v>
      </c>
    </row>
    <row r="66" spans="1:2" x14ac:dyDescent="0.2">
      <c r="A66" t="s">
        <v>681</v>
      </c>
      <c r="B66" t="str">
        <f ca="1">IF(COUNTIF('17_Checks'!D:D,"FAIL")=0,"HEALTHY","REVIEW REQUIRED")</f>
        <v>HEALTHY</v>
      </c>
    </row>
    <row r="67" spans="1:2" x14ac:dyDescent="0.2">
      <c r="A67" t="s">
        <v>682</v>
      </c>
      <c r="B67">
        <f ca="1">COUNTIF('17_Checks'!D:D,"FAIL")</f>
        <v>0</v>
      </c>
    </row>
  </sheetData>
  <mergeCells count="22">
    <mergeCell ref="A3:D3"/>
    <mergeCell ref="B27:D27"/>
    <mergeCell ref="B56:D56"/>
    <mergeCell ref="B52:D52"/>
    <mergeCell ref="B39:D39"/>
    <mergeCell ref="B55:D55"/>
    <mergeCell ref="B24:D24"/>
    <mergeCell ref="B36:D36"/>
    <mergeCell ref="B26:D26"/>
    <mergeCell ref="B7:D7"/>
    <mergeCell ref="B25:D25"/>
    <mergeCell ref="B54:D54"/>
    <mergeCell ref="B11:D11"/>
    <mergeCell ref="A4:D4"/>
    <mergeCell ref="B8:D8"/>
    <mergeCell ref="B53:D53"/>
    <mergeCell ref="B38:D38"/>
    <mergeCell ref="B10:D10"/>
    <mergeCell ref="B28:D28"/>
    <mergeCell ref="B37:D37"/>
    <mergeCell ref="B40:D40"/>
    <mergeCell ref="B9:D9"/>
  </mergeCell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D33"/>
  <sheetViews>
    <sheetView workbookViewId="0"/>
  </sheetViews>
  <sheetFormatPr baseColWidth="10" defaultColWidth="8.83203125" defaultRowHeight="15" x14ac:dyDescent="0.2"/>
  <cols>
    <col min="1" max="2" width="12" customWidth="1"/>
    <col min="3" max="3" width="40" customWidth="1"/>
    <col min="4" max="4" width="12" customWidth="1"/>
  </cols>
  <sheetData>
    <row r="1" spans="1:4" ht="21" x14ac:dyDescent="0.25">
      <c r="A1" s="5" t="s">
        <v>683</v>
      </c>
    </row>
    <row r="3" spans="1:4" x14ac:dyDescent="0.2">
      <c r="A3" s="32" t="s">
        <v>684</v>
      </c>
      <c r="B3" s="30"/>
      <c r="C3" s="30"/>
      <c r="D3" s="31"/>
    </row>
    <row r="4" spans="1:4" ht="343.25" customHeight="1" x14ac:dyDescent="0.2">
      <c r="A4" s="29" t="s">
        <v>685</v>
      </c>
      <c r="B4" s="30"/>
      <c r="C4" s="30"/>
      <c r="D4" s="31"/>
    </row>
    <row r="6" spans="1:4" x14ac:dyDescent="0.2">
      <c r="A6" s="6" t="s">
        <v>683</v>
      </c>
    </row>
    <row r="7" spans="1:4" ht="31.25" customHeight="1" x14ac:dyDescent="0.2">
      <c r="A7" s="7" t="s">
        <v>46</v>
      </c>
      <c r="B7" s="27" t="s">
        <v>686</v>
      </c>
      <c r="C7" s="28"/>
      <c r="D7" s="28"/>
    </row>
    <row r="8" spans="1:4" ht="31.25" customHeight="1" x14ac:dyDescent="0.2">
      <c r="A8" s="7" t="s">
        <v>48</v>
      </c>
      <c r="B8" s="27" t="s">
        <v>687</v>
      </c>
      <c r="C8" s="28"/>
      <c r="D8" s="28"/>
    </row>
    <row r="9" spans="1:4" ht="78" customHeight="1" x14ac:dyDescent="0.2">
      <c r="A9" s="7" t="s">
        <v>50</v>
      </c>
      <c r="B9" s="27" t="s">
        <v>688</v>
      </c>
      <c r="C9" s="28"/>
      <c r="D9" s="28"/>
    </row>
    <row r="10" spans="1:4" ht="31.25" customHeight="1" x14ac:dyDescent="0.2">
      <c r="A10" s="7" t="s">
        <v>52</v>
      </c>
      <c r="B10" s="27" t="s">
        <v>689</v>
      </c>
      <c r="C10" s="28"/>
      <c r="D10" s="28"/>
    </row>
    <row r="11" spans="1:4" ht="15.5" customHeight="1" x14ac:dyDescent="0.2">
      <c r="A11" s="7" t="s">
        <v>54</v>
      </c>
      <c r="B11" s="27" t="s">
        <v>690</v>
      </c>
      <c r="C11" s="28"/>
      <c r="D11" s="28"/>
    </row>
    <row r="12" spans="1:4" x14ac:dyDescent="0.2">
      <c r="A12" s="8" t="s">
        <v>691</v>
      </c>
      <c r="B12" s="8" t="s">
        <v>692</v>
      </c>
      <c r="C12" s="8" t="s">
        <v>59</v>
      </c>
      <c r="D12" s="8" t="s">
        <v>647</v>
      </c>
    </row>
    <row r="13" spans="1:4" x14ac:dyDescent="0.2">
      <c r="A13" t="s">
        <v>693</v>
      </c>
      <c r="B13" t="s">
        <v>694</v>
      </c>
      <c r="C13" t="s">
        <v>695</v>
      </c>
      <c r="D13" t="str">
        <f>IF(AND(Discount_Rate&gt;=0,Discount_Rate&lt;=0.15),"PASS","FAIL")</f>
        <v>PASS</v>
      </c>
    </row>
    <row r="14" spans="1:4" x14ac:dyDescent="0.2">
      <c r="A14" t="s">
        <v>696</v>
      </c>
      <c r="B14" t="s">
        <v>694</v>
      </c>
      <c r="C14" t="s">
        <v>697</v>
      </c>
      <c r="D14" t="str">
        <f>IF(AND(Season_Length&gt;=60,Season_Length&lt;=150),"PASS","FAIL")</f>
        <v>PASS</v>
      </c>
    </row>
    <row r="15" spans="1:4" x14ac:dyDescent="0.2">
      <c r="A15" t="s">
        <v>698</v>
      </c>
      <c r="B15" t="s">
        <v>694</v>
      </c>
      <c r="C15" t="s">
        <v>699</v>
      </c>
      <c r="D15" t="str">
        <f>IF(AND(Projection_Years&gt;=1,Projection_Years&lt;=10),"PASS","FAIL")</f>
        <v>PASS</v>
      </c>
    </row>
    <row r="16" spans="1:4" x14ac:dyDescent="0.2">
      <c r="A16" t="s">
        <v>700</v>
      </c>
      <c r="B16" t="s">
        <v>694</v>
      </c>
      <c r="C16" t="s">
        <v>701</v>
      </c>
      <c r="D16" t="str">
        <f>IF(Value_Per_M3&gt;0,"PASS","FAIL")</f>
        <v>PASS</v>
      </c>
    </row>
    <row r="17" spans="1:4" x14ac:dyDescent="0.2">
      <c r="A17" t="s">
        <v>702</v>
      </c>
      <c r="B17" t="s">
        <v>703</v>
      </c>
      <c r="C17" t="s">
        <v>704</v>
      </c>
      <c r="D17" t="str">
        <f>IF(COUNTIF(List_TestingOptions,Testing_Option)=1,"PASS","FAIL")</f>
        <v>PASS</v>
      </c>
    </row>
    <row r="18" spans="1:4" x14ac:dyDescent="0.2">
      <c r="A18" t="s">
        <v>705</v>
      </c>
      <c r="B18" t="s">
        <v>703</v>
      </c>
      <c r="C18" t="s">
        <v>706</v>
      </c>
      <c r="D18" t="str">
        <f>IF(COUNTIF(List_Scenarios,Scenario_Select)=1,"PASS","FAIL")</f>
        <v>PASS</v>
      </c>
    </row>
    <row r="19" spans="1:4" x14ac:dyDescent="0.2">
      <c r="A19" t="s">
        <v>707</v>
      </c>
      <c r="B19" t="s">
        <v>708</v>
      </c>
      <c r="C19" t="s">
        <v>709</v>
      </c>
      <c r="D19" t="str">
        <f ca="1">IF(AND(NPV_Total&gt;-1000000,NPV_Total&lt;10000000),"PASS","FAIL")</f>
        <v>PASS</v>
      </c>
    </row>
    <row r="20" spans="1:4" x14ac:dyDescent="0.2">
      <c r="A20" t="s">
        <v>710</v>
      </c>
      <c r="B20" t="s">
        <v>708</v>
      </c>
      <c r="C20" t="s">
        <v>711</v>
      </c>
      <c r="D20" t="str">
        <f>IF(Testing_Cost&gt;0,"PASS","FAIL")</f>
        <v>PASS</v>
      </c>
    </row>
    <row r="21" spans="1:4" x14ac:dyDescent="0.2">
      <c r="A21" t="s">
        <v>712</v>
      </c>
      <c r="B21" t="s">
        <v>708</v>
      </c>
      <c r="C21" t="s">
        <v>713</v>
      </c>
      <c r="D21" t="str">
        <f ca="1">IF(Gross_Value&gt;=0,"PASS","FAIL")</f>
        <v>PASS</v>
      </c>
    </row>
    <row r="22" spans="1:4" x14ac:dyDescent="0.2">
      <c r="A22" t="s">
        <v>714</v>
      </c>
      <c r="B22" t="s">
        <v>715</v>
      </c>
      <c r="C22" t="s">
        <v>716</v>
      </c>
      <c r="D22" t="str">
        <f>IF(ISERROR(Testing_Option),"FAIL","PASS")</f>
        <v>PASS</v>
      </c>
    </row>
    <row r="23" spans="1:4" x14ac:dyDescent="0.2">
      <c r="A23" t="s">
        <v>717</v>
      </c>
      <c r="B23" t="s">
        <v>694</v>
      </c>
      <c r="C23" t="s">
        <v>718</v>
      </c>
      <c r="D23" t="str">
        <f>IF(AND(Initial_NAFC&gt;=40,Initial_NAFC&lt;=100),"PASS","FAIL")</f>
        <v>PASS</v>
      </c>
    </row>
    <row r="24" spans="1:4" x14ac:dyDescent="0.2">
      <c r="A24" t="s">
        <v>719</v>
      </c>
      <c r="B24" t="s">
        <v>703</v>
      </c>
      <c r="C24" t="s">
        <v>720</v>
      </c>
      <c r="D24" t="str">
        <f>IF(Target_NAFC&lt;Initial_NAFC,"PASS","FAIL")</f>
        <v>PASS</v>
      </c>
    </row>
    <row r="25" spans="1:4" x14ac:dyDescent="0.2">
      <c r="A25" t="s">
        <v>721</v>
      </c>
      <c r="B25" t="s">
        <v>708</v>
      </c>
      <c r="C25" t="s">
        <v>722</v>
      </c>
      <c r="D25" t="str">
        <f ca="1">IF(Days_to_Compliance&lt;=Season_Length,"PASS","FAIL")</f>
        <v>PASS</v>
      </c>
    </row>
    <row r="26" spans="1:4" x14ac:dyDescent="0.2">
      <c r="A26" t="s">
        <v>723</v>
      </c>
      <c r="B26" t="s">
        <v>694</v>
      </c>
      <c r="C26" t="s">
        <v>724</v>
      </c>
      <c r="D26" t="str">
        <f ca="1">IF(AND(Eff_Rapid_Rate&gt;0,Eff_Slow_Rate&gt;0),"PASS","FAIL")</f>
        <v>PASS</v>
      </c>
    </row>
    <row r="29" spans="1:4" ht="19" x14ac:dyDescent="0.25">
      <c r="A29" s="4" t="s">
        <v>213</v>
      </c>
    </row>
    <row r="30" spans="1:4" x14ac:dyDescent="0.2">
      <c r="A30" t="s">
        <v>725</v>
      </c>
      <c r="B30">
        <f>COUNTA(tbl_Checks[Check_ID])</f>
        <v>14</v>
      </c>
    </row>
    <row r="31" spans="1:4" x14ac:dyDescent="0.2">
      <c r="A31" t="s">
        <v>726</v>
      </c>
      <c r="B31">
        <f ca="1">COUNTIF(tbl_Checks[Status],"PASS")</f>
        <v>14</v>
      </c>
    </row>
    <row r="32" spans="1:4" x14ac:dyDescent="0.2">
      <c r="A32" t="s">
        <v>727</v>
      </c>
      <c r="B32">
        <f ca="1">COUNTIF(tbl_Checks[Status],"FAIL")</f>
        <v>0</v>
      </c>
    </row>
    <row r="33" spans="1:2" x14ac:dyDescent="0.2">
      <c r="A33" t="s">
        <v>728</v>
      </c>
      <c r="B33" t="str">
        <f ca="1">IF(COUNTIF(tbl_Checks[Status],"FAIL")=0,"HEALTHY","REVIEW REQUIRED")</f>
        <v>HEALTHY</v>
      </c>
    </row>
  </sheetData>
  <mergeCells count="7">
    <mergeCell ref="B10:D10"/>
    <mergeCell ref="B11:D11"/>
    <mergeCell ref="A4:D4"/>
    <mergeCell ref="B8:D8"/>
    <mergeCell ref="A3:D3"/>
    <mergeCell ref="B9:D9"/>
    <mergeCell ref="B7:D7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97</vt:i4>
      </vt:variant>
    </vt:vector>
  </HeadingPairs>
  <TitlesOfParts>
    <vt:vector size="116" baseType="lpstr">
      <vt:lpstr>0_Cover</vt:lpstr>
      <vt:lpstr>1_TOC</vt:lpstr>
      <vt:lpstr>2_Instructions</vt:lpstr>
      <vt:lpstr>1.5_InputMap</vt:lpstr>
      <vt:lpstr>3_Assumptions</vt:lpstr>
      <vt:lpstr>4_Scenarios</vt:lpstr>
      <vt:lpstr>5_ServiceModels</vt:lpstr>
      <vt:lpstr>6_Calc_Timeline</vt:lpstr>
      <vt:lpstr>7_Calc_Stochastic</vt:lpstr>
      <vt:lpstr>8_Calc_Value</vt:lpstr>
      <vt:lpstr>9_Calc_Costs</vt:lpstr>
      <vt:lpstr>10_Calc_Sim</vt:lpstr>
      <vt:lpstr>11_PL_Monthly</vt:lpstr>
      <vt:lpstr>12_PL_Annual</vt:lpstr>
      <vt:lpstr>13_CashFlow</vt:lpstr>
      <vt:lpstr>14_UnitEconomics</vt:lpstr>
      <vt:lpstr>15_Sensitivity</vt:lpstr>
      <vt:lpstr>16_Dashboard</vt:lpstr>
      <vt:lpstr>17_Checks</vt:lpstr>
      <vt:lpstr>Annual_Throughput</vt:lpstr>
      <vt:lpstr>AnnualThroughput_M3</vt:lpstr>
      <vt:lpstr>Base_Year</vt:lpstr>
      <vt:lpstr>Beta_Efficiency_Gain_Alpha</vt:lpstr>
      <vt:lpstr>Beta_Efficiency_Gain_Beta</vt:lpstr>
      <vt:lpstr>Beta_Efficiency_Gain_Max</vt:lpstr>
      <vt:lpstr>Beta_Efficiency_Gain_Min</vt:lpstr>
      <vt:lpstr>Circulation_Cycles</vt:lpstr>
      <vt:lpstr>Compliance_Status</vt:lpstr>
      <vt:lpstr>Day_80_Survival</vt:lpstr>
      <vt:lpstr>Day_LC50</vt:lpstr>
      <vt:lpstr>Day_Nontoxic</vt:lpstr>
      <vt:lpstr>Days_to_Compliance</vt:lpstr>
      <vt:lpstr>Discount_Rate</vt:lpstr>
      <vt:lpstr>DowntimeCostPerDay</vt:lpstr>
      <vt:lpstr>Eff_Rapid_Rate</vt:lpstr>
      <vt:lpstr>Eff_Slow_Rate</vt:lpstr>
      <vt:lpstr>Gate_S1</vt:lpstr>
      <vt:lpstr>Gate_S2</vt:lpstr>
      <vt:lpstr>Gate_S3</vt:lpstr>
      <vt:lpstr>Gate_S4</vt:lpstr>
      <vt:lpstr>Gross_Value</vt:lpstr>
      <vt:lpstr>Initial_NAFC</vt:lpstr>
      <vt:lpstr>LaborPerDay</vt:lpstr>
      <vt:lpstr>LearningCurve_Mult</vt:lpstr>
      <vt:lpstr>List_Scenarios</vt:lpstr>
      <vt:lpstr>List_TestingOptions</vt:lpstr>
      <vt:lpstr>MC_Anchor</vt:lpstr>
      <vt:lpstr>MC_Expected_Days</vt:lpstr>
      <vt:lpstr>MC_Expected_NPV</vt:lpstr>
      <vt:lpstr>MC_P10</vt:lpstr>
      <vt:lpstr>MC_P10_Days</vt:lpstr>
      <vt:lpstr>MC_P50</vt:lpstr>
      <vt:lpstr>MC_P50_Days</vt:lpstr>
      <vt:lpstr>MC_P90</vt:lpstr>
      <vt:lpstr>MC_P90_Days</vt:lpstr>
      <vt:lpstr>MC_Prob_Achievable</vt:lpstr>
      <vt:lpstr>MC_Prob_Positive</vt:lpstr>
      <vt:lpstr>MC_StdDev</vt:lpstr>
      <vt:lpstr>NAFC_After_Rapid</vt:lpstr>
      <vt:lpstr>NPV_Total</vt:lpstr>
      <vt:lpstr>Projection_Years</vt:lpstr>
      <vt:lpstr>Rapid_Phase_Duration</vt:lpstr>
      <vt:lpstr>Rapid_Phase_Rate</vt:lpstr>
      <vt:lpstr>Recirculation_Cycle</vt:lpstr>
      <vt:lpstr>RegulatoryPenalty</vt:lpstr>
      <vt:lpstr>S1_Value</vt:lpstr>
      <vt:lpstr>S2_Value</vt:lpstr>
      <vt:lpstr>S3_Value</vt:lpstr>
      <vt:lpstr>S4_Value</vt:lpstr>
      <vt:lpstr>Scenario_BaseValues</vt:lpstr>
      <vt:lpstr>Scenario_Select</vt:lpstr>
      <vt:lpstr>Season_End_Day</vt:lpstr>
      <vt:lpstr>Season_End_Month</vt:lpstr>
      <vt:lpstr>Season_Length</vt:lpstr>
      <vt:lpstr>Season_Start_Day</vt:lpstr>
      <vt:lpstr>Season_Start_Month</vt:lpstr>
      <vt:lpstr>Slow_Phase_Rate</vt:lpstr>
      <vt:lpstr>Stoch_Efficiency</vt:lpstr>
      <vt:lpstr>Stoch_ExtValue</vt:lpstr>
      <vt:lpstr>Stoch_Interventions</vt:lpstr>
      <vt:lpstr>Stoch_SeasonExt</vt:lpstr>
      <vt:lpstr>Stoch_TreatmentRate</vt:lpstr>
      <vt:lpstr>System_Capacity</vt:lpstr>
      <vt:lpstr>Target_NAFC</vt:lpstr>
      <vt:lpstr>Testing_Cost</vt:lpstr>
      <vt:lpstr>Testing_Option</vt:lpstr>
      <vt:lpstr>TestOpt_Cost</vt:lpstr>
      <vt:lpstr>TestOpt_Interval</vt:lpstr>
      <vt:lpstr>TestOpt_Latency</vt:lpstr>
      <vt:lpstr>TestOpt_Method</vt:lpstr>
      <vt:lpstr>TestOpt_Option</vt:lpstr>
      <vt:lpstr>TestOpt_Points</vt:lpstr>
      <vt:lpstr>Timeline_DiscountFactor</vt:lpstr>
      <vt:lpstr>Timeline_LearningMult</vt:lpstr>
      <vt:lpstr>Treatment_Cells</vt:lpstr>
      <vt:lpstr>Treatment_Days</vt:lpstr>
      <vt:lpstr>Treatment_Efficiency</vt:lpstr>
      <vt:lpstr>TreatmentCells</vt:lpstr>
      <vt:lpstr>Tri_Extension_Value_Per_Day_Max</vt:lpstr>
      <vt:lpstr>Tri_Extension_Value_Per_Day_Min</vt:lpstr>
      <vt:lpstr>Tri_Extension_Value_Per_Day_Mode</vt:lpstr>
      <vt:lpstr>Tri_Interventions_Avoided_Max</vt:lpstr>
      <vt:lpstr>Tri_Interventions_Avoided_Min</vt:lpstr>
      <vt:lpstr>Tri_Interventions_Avoided_Mode</vt:lpstr>
      <vt:lpstr>Tri_Season_Extension_Days_Max</vt:lpstr>
      <vt:lpstr>Tri_Season_Extension_Days_Min</vt:lpstr>
      <vt:lpstr>Tri_Season_Extension_Days_Mode</vt:lpstr>
      <vt:lpstr>Tri_Treatment_Rate_Factor_Max</vt:lpstr>
      <vt:lpstr>Tri_Treatment_Rate_Factor_Min</vt:lpstr>
      <vt:lpstr>Tri_Treatment_Rate_Factor_Mode</vt:lpstr>
      <vt:lpstr>Value_Per_M3</vt:lpstr>
      <vt:lpstr>ValuePer_M3</vt:lpstr>
      <vt:lpstr>Wetland_Area</vt:lpstr>
      <vt:lpstr>WetlandArea_Ha</vt:lpstr>
      <vt:lpstr>Year1_Gross_Value</vt:lpstr>
      <vt:lpstr>Year1_Net_Value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 Saunders</cp:lastModifiedBy>
  <dcterms:created xsi:type="dcterms:W3CDTF">2026-01-31T01:23:07Z</dcterms:created>
  <dcterms:modified xsi:type="dcterms:W3CDTF">2026-01-31T01:27:08Z</dcterms:modified>
</cp:coreProperties>
</file>